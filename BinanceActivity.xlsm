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6800CD66-39EA-42D9-91F0-6162AD436BDF}" xr6:coauthVersionLast="47" xr6:coauthVersionMax="47" xr10:uidLastSave="{00000000-0000-0000-0000-000000000000}"/>
  <bookViews>
    <workbookView xWindow="28680" yWindow="-120" windowWidth="29040" windowHeight="15720" tabRatio="580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8" i="1" a="1"/>
  <c r="B8" i="1" s="1"/>
  <c r="I2" i="1" a="1"/>
  <c r="I2" i="1" s="1"/>
  <c r="I9" i="1" s="1"/>
  <c r="I3" i="1" a="1"/>
  <c r="I3" i="1" s="1"/>
  <c r="I4" i="1" a="1"/>
  <c r="I4" i="1" s="1"/>
  <c r="I5" i="1" a="1"/>
  <c r="I5" i="1" s="1"/>
  <c r="I6" i="1" a="1"/>
  <c r="I6" i="1" s="1"/>
  <c r="J6" i="1" s="1"/>
  <c r="I7" i="1" a="1"/>
  <c r="I7" i="1" s="1"/>
  <c r="I8" i="1" a="1"/>
  <c r="I8" i="1" s="1"/>
  <c r="J18" i="1"/>
  <c r="E18" i="1"/>
  <c r="D18" i="1"/>
  <c r="G2" i="1"/>
  <c r="G9" i="1" s="1"/>
  <c r="G3" i="1"/>
  <c r="G4" i="1"/>
  <c r="G5" i="1"/>
  <c r="G6" i="1"/>
  <c r="G7" i="1"/>
  <c r="G8" i="1"/>
  <c r="K2" i="1"/>
  <c r="K9" i="1" s="1"/>
  <c r="K3" i="1"/>
  <c r="K4" i="1"/>
  <c r="K5" i="1"/>
  <c r="K6" i="1"/>
  <c r="K7" i="1"/>
  <c r="K8" i="1"/>
  <c r="E2" i="1"/>
  <c r="E9" i="1" s="1"/>
  <c r="E3" i="1"/>
  <c r="E4" i="1"/>
  <c r="E5" i="1"/>
  <c r="E6" i="1"/>
  <c r="E7" i="1"/>
  <c r="E8" i="1"/>
  <c r="B10" i="1" a="1"/>
  <c r="B10" i="1" s="1"/>
  <c r="G10" i="3"/>
  <c r="G8" i="3"/>
  <c r="A6" i="4"/>
  <c r="O18" i="1"/>
  <c r="J7" i="1" l="1"/>
  <c r="J3" i="1"/>
  <c r="J8" i="1"/>
  <c r="J5" i="1"/>
  <c r="J4" i="1"/>
  <c r="J2" i="1"/>
  <c r="J6" i="4"/>
  <c r="H6" i="4"/>
  <c r="D6" i="4"/>
  <c r="F6" i="4"/>
  <c r="J9" i="1" l="1"/>
  <c r="B4" i="1" a="1"/>
  <c r="B4" i="1" s="1"/>
  <c r="B7" i="1"/>
  <c r="B9" i="1" a="1"/>
  <c r="B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<sst xmlns="http://schemas.openxmlformats.org/spreadsheetml/2006/main" count="170" uniqueCount="145">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</sst>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64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3"/>
    <tableColumn id="10" xr3:uid="{C254CAED-99FB-472A-8694-6B4E59FE47F3}" name="Evaluation Asset" dataDxfId="62"/>
    <tableColumn id="1" xr3:uid="{355CDFDF-675F-4DEC-817C-17FC7CFE7487}" name="Activity Start Date" dataDxfId="61"/>
    <tableColumn id="5" xr3:uid="{67155EC9-1196-4F2D-9401-88B27FBBDCC3}" name="Maker Fee" dataDxfId="60"/>
    <tableColumn id="6" xr3:uid="{262113F3-B82B-46FE-B8FD-5B4323E6DC2B}" name="Taker Fee" dataDxfId="59"/>
    <tableColumn id="7" xr3:uid="{21D2A591-ACD5-449F-94D3-3EB328F88B9F}" name="Buyer Fee" dataDxfId="58"/>
    <tableColumn id="8" xr3:uid="{718F0E26-0FF9-4BBB-BA98-18E85B0B8DA2}" name="Seller Fee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6" totalsRowDxfId="55">
      <calculatedColumnFormula>Wallet[[#This Row],[Static Amount]]+Wallet[[#This Row],[Dynamic Amount]]</calculatedColumnFormula>
    </tableColumn>
    <tableColumn id="4" xr3:uid="{6BD03EB5-C572-4866-BCD8-662B93F69C6B}" name="Total Cost" totalsRowFunction="sum" dataDxfId="54" totalsRowDxfId="53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2" totalsRowDxfId="51"/>
    <tableColumn id="5" xr3:uid="{7D6BA41C-60AE-4FDF-A8ED-199FDF3084F4}" name="Spot Cost" totalsRowFunction="sum" dataDxfId="50" totalsRowDxfId="49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8" totalsRowDxfId="47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6" totalsRowDxfId="45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4" totalsRowDxfId="43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2"/>
    <tableColumn id="3" xr3:uid="{496F3DEA-85DD-4658-83B5-F0A38E13C814}" name="Transfers" dataDxfId="41"/>
    <tableColumn id="4" xr3:uid="{976B3AB6-32BC-4903-964B-D6306327EC3A}" name="Conversions" dataDxfId="40"/>
    <tableColumn id="5" xr3:uid="{30F60354-2A73-4BDE-8A3A-97599788FD0F}" name="Dust Log" dataDxfId="39"/>
    <tableColumn id="6" xr3:uid="{77D4C728-BBEA-4F52-B500-2FF17985ECA9}" name="Fiat Buys" dataDxfId="38"/>
    <tableColumn id="7" xr3:uid="{7AF7CAFE-256D-440A-9E46-0E0E62EDA58D}" name="Fiat Sells" dataDxfId="37"/>
    <tableColumn id="8" xr3:uid="{393A80E1-A845-4DCA-A6DB-5A7ECE9427BE}" name="Fiat Deposits" dataDxfId="36"/>
    <tableColumn id="9" xr3:uid="{24B88B35-3E3C-49DB-B738-AF5F80E0BE3E}" name="Fiat Withdraws" dataDxfId="35"/>
    <tableColumn id="10" xr3:uid="{2C4C24B5-7E14-4A96-9AF2-07CD957A4F40}" name="Crypto Deposits" dataDxfId="34"/>
    <tableColumn id="11" xr3:uid="{AE6480AE-7BCC-466E-91F5-C3695832F768}" name="Crypto Withdraws" dataDxfId="33"/>
    <tableColumn id="12" xr3:uid="{BF0CAAF2-8228-4C83-9AFF-0BA2895994DD}" name="Distributions" dataDxfId="32"/>
    <tableColumn id="13" xr3:uid="{5AEF5894-F0F1-4E77-8B5D-C6BB2EAFBA9A}" name="Flexible Earns" dataDxfId="31"/>
    <tableColumn id="14" xr3:uid="{4F04E910-29EC-43FA-ADF2-7C9081584FCC}" name="Locked Earns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Markets" dataDxfId="2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9" totalsRowCount="1">
  <autoFilter ref="D1:L8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workbookViewId="0">
      <pane ySplit="4" topLeftCell="A5" activePane="bottomLeft" state="frozen"/>
      <selection pane="bottomLeft" activeCell="A38" sqref="A38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141</v>
      </c>
      <c r="L1" t="s">
        <v>142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143</v>
      </c>
      <c r="V1" t="s">
        <v>144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112</v>
      </c>
      <c r="D4" t="s">
        <v>113</v>
      </c>
      <c r="E4" t="s">
        <v>106</v>
      </c>
      <c r="F4" t="s">
        <v>109</v>
      </c>
      <c r="G4" t="s">
        <v>107</v>
      </c>
      <c r="H4" t="s">
        <v>110</v>
      </c>
      <c r="I4" t="s">
        <v>108</v>
      </c>
      <c r="J4" t="s">
        <v>111</v>
      </c>
      <c r="K4" t="s">
        <v>120</v>
      </c>
      <c r="L4" t="s">
        <v>121</v>
      </c>
      <c r="M4" t="s">
        <v>122</v>
      </c>
      <c r="N4" t="s">
        <v>123</v>
      </c>
      <c r="O4" t="s">
        <v>114</v>
      </c>
    </row>
    <row r="6" spans="1:22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B37" sqref="B37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125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119</v>
      </c>
      <c r="G4" t="s">
        <v>37</v>
      </c>
      <c r="H4" t="s">
        <v>52</v>
      </c>
      <c r="I4" t="s">
        <v>53</v>
      </c>
      <c r="J4" t="s">
        <v>132</v>
      </c>
    </row>
    <row r="5" spans="1:11" x14ac:dyDescent="0.2">
      <c r="A5" t="s">
        <v>1</v>
      </c>
      <c r="B5" t="s">
        <v>128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129</v>
      </c>
      <c r="C7" t="s">
        <v>127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130</v>
      </c>
      <c r="C8" t="s">
        <v>127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131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69</v>
      </c>
      <c r="C1" t="s">
        <v>65</v>
      </c>
      <c r="D1" t="s">
        <v>74</v>
      </c>
      <c r="E1" t="s">
        <v>71</v>
      </c>
      <c r="F1" t="s">
        <v>66</v>
      </c>
      <c r="G1" t="s">
        <v>67</v>
      </c>
      <c r="H1" t="s">
        <v>68</v>
      </c>
      <c r="I1" t="s">
        <v>70</v>
      </c>
      <c r="J1" t="s">
        <v>75</v>
      </c>
      <c r="K1" t="s">
        <v>73</v>
      </c>
      <c r="L1" t="s">
        <v>72</v>
      </c>
      <c r="M1" t="s">
        <v>62</v>
      </c>
      <c r="O1" t="s">
        <v>55</v>
      </c>
      <c r="P1" t="s">
        <v>69</v>
      </c>
      <c r="Q1" t="s">
        <v>80</v>
      </c>
      <c r="R1" t="s">
        <v>7</v>
      </c>
      <c r="S1" t="s">
        <v>76</v>
      </c>
      <c r="T1" t="s">
        <v>77</v>
      </c>
      <c r="U1" t="s">
        <v>78</v>
      </c>
      <c r="V1" t="s">
        <v>79</v>
      </c>
      <c r="W1" t="s">
        <v>83</v>
      </c>
      <c r="X1" t="s">
        <v>85</v>
      </c>
      <c r="Y1" t="s">
        <v>87</v>
      </c>
      <c r="Z1" t="s">
        <v>82</v>
      </c>
      <c r="AA1" t="s">
        <v>84</v>
      </c>
      <c r="AB1" t="s">
        <v>86</v>
      </c>
      <c r="AC1" t="s">
        <v>88</v>
      </c>
      <c r="AD1" t="s">
        <v>89</v>
      </c>
      <c r="AE1" t="s">
        <v>90</v>
      </c>
      <c r="AF1" t="s">
        <v>91</v>
      </c>
      <c r="AG1" t="s">
        <v>92</v>
      </c>
      <c r="AH1" t="s">
        <v>93</v>
      </c>
      <c r="AI1" t="s">
        <v>94</v>
      </c>
      <c r="AJ1" t="s">
        <v>95</v>
      </c>
      <c r="AK1" t="s">
        <v>96</v>
      </c>
      <c r="AL1" t="s">
        <v>97</v>
      </c>
      <c r="AM1" t="s">
        <v>98</v>
      </c>
      <c r="AN1" t="s">
        <v>99</v>
      </c>
      <c r="AO1" t="s">
        <v>100</v>
      </c>
      <c r="AP1" t="s">
        <v>101</v>
      </c>
      <c r="AQ1" t="s">
        <v>102</v>
      </c>
      <c r="AR1" t="s">
        <v>103</v>
      </c>
      <c r="AS1" t="s">
        <v>104</v>
      </c>
      <c r="AT1" t="s">
        <v>105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abSelected="1" zoomScaleNormal="100" workbookViewId="0">
      <pane ySplit="16" topLeftCell="A17" activePane="bottomLeft" state="frozen"/>
      <selection pane="bottomLeft" activeCell="A20" sqref="A2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116</v>
      </c>
      <c r="I1" t="s">
        <v>29</v>
      </c>
      <c r="J1" t="s">
        <v>27</v>
      </c>
      <c r="K1" t="s">
        <v>10</v>
      </c>
      <c r="L1" t="s">
        <v>118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117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124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115</v>
      </c>
      <c r="B9" t="e" cm="1">
        <f t="array" ref="B9">Summary[[#Totals],[Balance]]-INDEX(Wallet[Static Amount], MATCH(Markets[Ticker],Wallet[Ticker],0))</f>
        <v>#N/A</v>
      </c>
      <c r="D9" t="s">
        <v>28</v>
      </c>
      <c r="E9">
        <f>SUBTOTAL(109,Summary[Acquired])</f>
        <v>0</v>
      </c>
      <c r="G9">
        <f>SUBTOTAL(109,Summary[Spent])</f>
        <v>0</v>
      </c>
      <c r="I9">
        <f>SUBTOTAL(109,Summary[Charge])</f>
        <v>0</v>
      </c>
      <c r="J9">
        <f>SUBTOTAL(109,Summary[Balance])</f>
        <v>0</v>
      </c>
      <c r="K9">
        <f>SUBTOTAL(109,Summary[BNB fees])</f>
        <v>0</v>
      </c>
    </row>
    <row r="10" spans="1:15" ht="12.75" customHeight="1" x14ac:dyDescent="0.2">
      <c r="A10" t="s">
        <v>56</v>
      </c>
      <c r="B10" s="11" cm="1">
        <f t="array" ref="B10">UserInfo[Activity Start Date]</f>
        <v>45809</v>
      </c>
    </row>
    <row r="13" spans="1:15" ht="12.75" customHeight="1" x14ac:dyDescent="0.2">
      <c r="A13" t="s">
        <v>7</v>
      </c>
      <c r="B13" t="s">
        <v>126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81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2025-09-30T12:15:32Z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