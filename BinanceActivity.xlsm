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37F9E09B-04AD-4C74-849A-30C7BFD4D525}" xr6:coauthVersionLast="47" xr6:coauthVersionMax="47" xr10:uidLastSave="{00000000-0000-0000-0000-000000000000}"/>
  <bookViews>
    <workbookView xWindow="-120" yWindow="-120" windowWidth="29040" windowHeight="15720" tabRatio="614" activeTab="1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6" i="1"/>
  <c r="L6" i="4" l="1"/>
  <c r="I8" i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N6" i="4" l="1"/>
  <c r="B5" i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<sst xmlns="http://schemas.openxmlformats.org/spreadsheetml/2006/main" count="173" uniqueCount="129">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</sst>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  <xf numFmtId="173" fontId="0" fillId="0" borderId="0" xfId="0" applyNumberFormat="1" applyAlignment="1"/>
  </cellXfs>
  <cellStyles count="1">
    <cellStyle name="Normal" xfId="0" builtinId="0"/>
  </cellStyles>
  <dxfs count="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B1:H2" totalsRowShown="0">
  <autoFilter ref="B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83"/>
    <tableColumn id="10" xr3:uid="{C254CAED-99FB-472A-8694-6B4E59FE47F3}" name="Quote" dataDxfId="82"/>
    <tableColumn id="1" xr3:uid="{355CDFDF-675F-4DEC-817C-17FC7CFE7487}" name="Activity Start Date" dataDxfId="81"/>
    <tableColumn id="5" xr3:uid="{67155EC9-1196-4F2D-9401-88B27FBBDCC3}" name="Maker Fee" dataDxfId="80"/>
    <tableColumn id="6" xr3:uid="{262113F3-B82B-46FE-B8FD-5B4323E6DC2B}" name="Taker Fee" dataDxfId="79"/>
    <tableColumn id="7" xr3:uid="{21D2A591-ACD5-449F-94D3-3EB328F88B9F}" name="Buyer Fee" dataDxfId="78"/>
    <tableColumn id="8" xr3:uid="{718F0E26-0FF9-4BBB-BA98-18E85B0B8DA2}" name="Seller Fee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 headerRowDxfId="76" dataDxfId="75" totalsRowDxfId="74">
  <autoFilter ref="A4:O5" xr:uid="{85115445-9952-4A52-9DBF-4AA7DEA24FF6}"/>
  <sortState xmlns:xlrd2="http://schemas.microsoft.com/office/spreadsheetml/2017/richdata2" ref="A5:O5">
    <sortCondition ref="A5" customList="USD,EUR,USDC,BNB,XRP,ALGO,NXPC,HAEDAL,SUI,ADA,A,LAYER,POL,PIXEL,DYM,INIT,ACE,S,AXS,NEAR,TON,GAS,SIGN,BTC,PEPE,C,LINEA,AVAX,OPEN,HOLO,DOLO,SOL,HUMA,PLUME,WLFI,NEO"/>
  </sortState>
  <tableColumns count="15">
    <tableColumn id="2" xr3:uid="{FDF60DEB-7927-4B56-A36C-868C246945B9}" name="Ticker" totalsRowFunction="count" dataDxfId="73" totalsRowDxfId="14"/>
    <tableColumn id="15" xr3:uid="{3978548E-6253-41DF-BA59-AA3718880C62}" name="Price" dataDxfId="72" totalsRowDxfId="13"/>
    <tableColumn id="3" xr3:uid="{89968980-2315-475B-A06C-19BC51CDE092}" name="Total Amount" dataDxfId="27" totalsRowDxfId="12">
      <calculatedColumnFormula>Wallet[[#This Row],[Static Amount]]+Wallet[[#This Row],[Dynamic Amount]]</calculatedColumnFormula>
    </tableColumn>
    <tableColumn id="4" xr3:uid="{6BD03EB5-C572-4866-BCD8-662B93F69C6B}" name="Total Cost" totalsRowFunction="sum" dataDxfId="26" totalsRowDxfId="11">
      <calculatedColumnFormula>Wallet[[#This Row],[Static Cost]]+Wallet[[#This Row],[Dynamic Cost]]</calculatedColumnFormula>
    </tableColumn>
    <tableColumn id="7" xr3:uid="{ADB4BBC5-7655-43CE-9F92-633B7CAA84FC}" name="Spot Amount" dataDxfId="25" totalsRowDxfId="10"/>
    <tableColumn id="5" xr3:uid="{7D6BA41C-60AE-4FDF-A8ED-199FDF3084F4}" name="Spot Cost" totalsRowFunction="sum" dataDxfId="24" totalsRowDxfId="9"/>
    <tableColumn id="6" xr3:uid="{7A7571B9-8EC3-4D72-A88D-3E2304A30231}" name="Funding Amount" dataDxfId="23" totalsRowDxfId="8"/>
    <tableColumn id="11" xr3:uid="{6AA452C6-80E7-4FB9-8211-C7FF251AABA8}" name="Funding Cost" totalsRowFunction="sum" dataDxfId="22" totalsRowDxfId="7"/>
    <tableColumn id="14" xr3:uid="{C27555ED-A184-4ED5-9D38-365A2ABB9AE2}" name="Earn Amount" dataDxfId="21" totalsRowDxfId="6"/>
    <tableColumn id="12" xr3:uid="{7B881B25-9DC5-43A9-B7E2-C426A490136A}" name="Earn Cost" totalsRowFunction="sum" dataDxfId="20" totalsRowDxfId="5"/>
    <tableColumn id="8" xr3:uid="{ED427027-7453-4B62-9F2A-C56EE5D72349}" name="Dynamic Amount" dataDxfId="19" totalsRowDxfId="4"/>
    <tableColumn id="13" xr3:uid="{6DAAB8AF-1E72-48C4-A499-4897732500D2}" name="Dynamic Cost" totalsRowFunction="sum" dataDxfId="18" totalsRowDxfId="3"/>
    <tableColumn id="16" xr3:uid="{78744627-CB70-46BC-8941-F295AB38EB06}" name="Static Amount" dataDxfId="17" totalsRowDxfId="2">
      <calculatedColumnFormula>Wallet[[#This Row],[Spot Amount]]+Wallet[[#This Row],[Funding Amount]]+Wallet[[#This Row],[Earn Amount]]</calculatedColumnFormula>
    </tableColumn>
    <tableColumn id="17" xr3:uid="{1670F9B6-0901-4948-B167-56F64A8A8214}" name="Static Cost" totalsRowFunction="sum" dataDxfId="15" totalsRowDxfId="1">
      <calculatedColumnFormula>Wallet[[#This Row],[Spot Cost]]+Wallet[[#This Row],[Funding Cost]]+Wallet[[#This Row],[Earn Cost]]</calculatedColumnFormula>
    </tableColumn>
    <tableColumn id="1" xr3:uid="{FCA75428-21C8-49ED-BEDD-C81E9C1D8EA0}" name="Deviation" dataDxfId="16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J1:W2" totalsRowShown="0">
  <autoFilter ref="J1:W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71"/>
    <tableColumn id="3" xr3:uid="{496F3DEA-85DD-4658-83B5-F0A38E13C814}" name="Transfers" dataDxfId="70"/>
    <tableColumn id="4" xr3:uid="{976B3AB6-32BC-4903-964B-D6306327EC3A}" name="Conversions" dataDxfId="69"/>
    <tableColumn id="5" xr3:uid="{30F60354-2A73-4BDE-8A3A-97599788FD0F}" name="Dust Log" dataDxfId="68"/>
    <tableColumn id="6" xr3:uid="{77D4C728-BBEA-4F52-B500-2FF17985ECA9}" name="Fiat Buys" dataDxfId="67"/>
    <tableColumn id="7" xr3:uid="{7AF7CAFE-256D-440A-9E46-0E0E62EDA58D}" name="Fiat Sells" dataDxfId="66"/>
    <tableColumn id="8" xr3:uid="{393A80E1-A845-4DCA-A6DB-5A7ECE9427BE}" name="Fiat Deposits" dataDxfId="65"/>
    <tableColumn id="9" xr3:uid="{24B88B35-3E3C-49DB-B738-AF5F80E0BE3E}" name="Fiat Withdraws" dataDxfId="64"/>
    <tableColumn id="10" xr3:uid="{2C4C24B5-7E14-4A96-9AF2-07CD957A4F40}" name="Crypto Deposits" dataDxfId="63"/>
    <tableColumn id="11" xr3:uid="{AE6480AE-7BCC-466E-91F5-C3695832F768}" name="Crypto Withdraws" dataDxfId="62"/>
    <tableColumn id="12" xr3:uid="{BF0CAAF2-8228-4C83-9AFF-0BA2895994DD}" name="Distributions" dataDxfId="61"/>
    <tableColumn id="13" xr3:uid="{5AEF5894-F0F1-4E77-8B5D-C6BB2EAFBA9A}" name="Flexible Earns" dataDxfId="60"/>
    <tableColumn id="14" xr3:uid="{4F04E910-29EC-43FA-ADF2-7C9081584FCC}" name="Locked Earns" dataDxfId="59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58"/>
    <tableColumn id="65" xr3:uid="{1359C594-DA3A-4FC2-B7FC-DD8A47C9AAA0}" name="Markets" dataDxfId="28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57"/>
    <tableColumn id="2" xr3:uid="{0F1AC480-D7B7-4F2E-BA02-2230B5B325A1}" name="Applied" dataDxfId="56"/>
    <tableColumn id="3" xr3:uid="{9BBE3EE2-F501-41FB-847D-C25F2C5098C2}" name="Conversion ID" dataDxfId="55"/>
    <tableColumn id="4" xr3:uid="{DAADDE0C-3AD0-4A03-9C16-C4F26D559DA1}" name="From Asset"/>
    <tableColumn id="5" xr3:uid="{39B97D4B-0C82-4F21-B9E1-AB41C5B9D131}" name="From Amount" dataDxfId="54"/>
    <tableColumn id="6" xr3:uid="{C2462DD8-88C1-4B61-B643-79DFD479B9C6}" name="Spot Wallet" dataDxfId="53"/>
    <tableColumn id="7" xr3:uid="{542DB8DD-BDED-4361-A83D-CDEB41F78E11}" name="Funding Wallet" dataDxfId="52"/>
    <tableColumn id="8" xr3:uid="{8F09C69A-0857-4691-8A8E-5E5E530E1174}" name="Earn Wallet" dataDxfId="51"/>
    <tableColumn id="9" xr3:uid="{ACF39040-97FA-4527-A0E9-EEADF10EA789}" name="Is Valid" dataDxfId="29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50"/>
    <tableColumn id="11" xr3:uid="{F4567656-CAE8-4928-85B1-736BEBE5A197}" name="To Amount" dataDxfId="4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48"/>
    <tableColumn id="2" xr3:uid="{A6536661-3405-4582-951F-A6A14504D084}" name="Applied" dataDxfId="47"/>
    <tableColumn id="3" xr3:uid="{C79C3939-2F7D-45DF-9C6A-D1801FB8E863}" name="Transaction ID" dataDxfId="46"/>
    <tableColumn id="4" xr3:uid="{D164491F-1DF0-445B-8289-CF28D6FA38B6}" name="Ticker"/>
    <tableColumn id="5" xr3:uid="{411425D9-43F6-40DF-AEA0-FF73055F5917}" name="Coin 1" dataDxfId="45"/>
    <tableColumn id="6" xr3:uid="{F516F051-5B89-4C3A-BD8A-548168707ECF}" name="Amount 1" dataDxfId="44"/>
    <tableColumn id="7" xr3:uid="{A2447165-E087-4636-9FD4-900058244811}" name="Charge 1" dataDxfId="43"/>
    <tableColumn id="8" xr3:uid="{C6364AAF-0A30-463E-8BB8-B76149123486}" name="Volume 1" dataDxfId="42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2" totalsRowShown="0">
  <autoFilter ref="A6:A12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O16" totalsRowCount="1">
  <autoFilter ref="A14:O15" xr:uid="{F3CBD49D-CB72-4E7C-9984-E5F18B705DA6}"/>
  <tableColumns count="15">
    <tableColumn id="1" xr3:uid="{D7E5DBD9-E8EF-469B-BEDF-153523AAF4A3}" name="Stamp" dataDxfId="41"/>
    <tableColumn id="2" xr3:uid="{A1169244-DC3E-40D8-A647-316DD8DB603A}" name="Wallet" dataDxfId="4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3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3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3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3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3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3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3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3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31"/>
    <tableColumn id="7" xr3:uid="{07D19152-2558-4F61-878E-9B51E845BDD5}" name="Observed" dataDxfId="3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W6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A43" sqref="A43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7.42578125" bestFit="1" customWidth="1"/>
    <col min="4" max="4" width="18.85546875" customWidth="1"/>
    <col min="5" max="5" width="15" bestFit="1" customWidth="1"/>
    <col min="6" max="6" width="21.140625" bestFit="1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8.7109375" customWidth="1"/>
    <col min="13" max="14" width="18.140625" bestFit="1" customWidth="1"/>
    <col min="15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3" x14ac:dyDescent="0.2">
      <c r="B1" t="s">
        <v>46</v>
      </c>
      <c r="C1" t="s">
        <v>124</v>
      </c>
      <c r="D1" t="s">
        <v>54</v>
      </c>
      <c r="E1" t="s">
        <v>47</v>
      </c>
      <c r="F1" t="s">
        <v>48</v>
      </c>
      <c r="G1" t="s">
        <v>49</v>
      </c>
      <c r="H1" t="s">
        <v>50</v>
      </c>
      <c r="J1" t="s">
        <v>55</v>
      </c>
      <c r="K1" t="s">
        <v>4</v>
      </c>
      <c r="L1" t="s">
        <v>108</v>
      </c>
      <c r="M1" t="s">
        <v>109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110</v>
      </c>
      <c r="W1" t="s">
        <v>111</v>
      </c>
    </row>
    <row r="2" spans="1:23" x14ac:dyDescent="0.2">
      <c r="D2" s="11">
        <v>45809</v>
      </c>
      <c r="E2" s="9"/>
      <c r="F2" s="9"/>
      <c r="G2" s="9"/>
      <c r="H2" s="9"/>
      <c r="J2" t="s">
        <v>52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4" spans="1:23" x14ac:dyDescent="0.2">
      <c r="A4" t="s">
        <v>7</v>
      </c>
      <c r="B4" t="s">
        <v>34</v>
      </c>
      <c r="C4" t="s">
        <v>80</v>
      </c>
      <c r="D4" s="16" t="s">
        <v>81</v>
      </c>
      <c r="E4" t="s">
        <v>74</v>
      </c>
      <c r="F4" s="16" t="s">
        <v>77</v>
      </c>
      <c r="G4" t="s">
        <v>75</v>
      </c>
      <c r="H4" s="16" t="s">
        <v>78</v>
      </c>
      <c r="I4" t="s">
        <v>76</v>
      </c>
      <c r="J4" s="16" t="s">
        <v>79</v>
      </c>
      <c r="K4" t="s">
        <v>87</v>
      </c>
      <c r="L4" s="16" t="s">
        <v>88</v>
      </c>
      <c r="M4" t="s">
        <v>89</v>
      </c>
      <c r="N4" s="16" t="s">
        <v>90</v>
      </c>
      <c r="O4" t="s">
        <v>82</v>
      </c>
    </row>
    <row r="5" spans="1:23" x14ac:dyDescent="0.2">
      <c r="A5" s="16"/>
      <c r="B5" s="13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23" x14ac:dyDescent="0.2">
      <c r="A6" s="16">
        <f>SUBTOTAL(103,Wallet[Ticker])</f>
        <v>0</v>
      </c>
      <c r="B6" s="13"/>
      <c r="C6" s="16"/>
      <c r="D6" s="16">
        <f>SUBTOTAL(109,Wallet[Total Cost])</f>
        <v>0</v>
      </c>
      <c r="E6" s="16"/>
      <c r="F6" s="16">
        <f>SUBTOTAL(109,Wallet[Spot Cost])</f>
        <v>0</v>
      </c>
      <c r="G6" s="16"/>
      <c r="H6" s="16">
        <f>SUBTOTAL(109,Wallet[Funding Cost])</f>
        <v>0</v>
      </c>
      <c r="I6" s="16"/>
      <c r="J6" s="16">
        <f>SUBTOTAL(109,Wallet[Earn Cost])</f>
        <v>0</v>
      </c>
      <c r="K6" s="16"/>
      <c r="L6" s="16">
        <f>SUBTOTAL(109,Wallet[Dynamic Cost])</f>
        <v>0</v>
      </c>
      <c r="M6" s="16"/>
      <c r="N6" s="16">
        <f>SUBTOTAL(109,Wallet[Static Cost])</f>
        <v>0</v>
      </c>
      <c r="O6" s="16"/>
    </row>
  </sheetData>
  <dataConsolidate/>
  <phoneticPr fontId="1" type="noConversion"/>
  <dataValidations count="1">
    <dataValidation type="list" allowBlank="1" showInputMessage="1" showErrorMessage="1" sqref="C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43" sqref="R43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8" width="7" bestFit="1" customWidth="1"/>
    <col min="9" max="9" width="6.85546875" bestFit="1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2"/>
  <sheetViews>
    <sheetView workbookViewId="0">
      <pane ySplit="6" topLeftCell="A7" activePane="bottomLeft" state="frozen"/>
      <selection pane="bottomLeft" activeCell="R16" sqref="R16"/>
    </sheetView>
  </sheetViews>
  <sheetFormatPr defaultRowHeight="12.75" x14ac:dyDescent="0.2"/>
  <cols>
    <col min="1" max="1" width="15.71093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23" bestFit="1" customWidth="1"/>
    <col min="6" max="6" width="16" customWidth="1"/>
    <col min="7" max="7" width="17.28515625" bestFit="1" customWidth="1"/>
    <col min="8" max="8" width="13.85546875" bestFit="1" customWidth="1"/>
    <col min="9" max="9" width="17.28515625" bestFit="1" customWidth="1"/>
    <col min="10" max="10" width="13.85546875" bestFit="1" customWidth="1"/>
    <col min="11" max="11" width="16.28515625" customWidth="1"/>
    <col min="12" max="12" width="11.42578125" customWidth="1"/>
    <col min="13" max="13" width="18.140625" bestFit="1" customWidth="1"/>
    <col min="14" max="14" width="10.28515625" bestFit="1" customWidth="1"/>
    <col min="15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128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126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E7" s="16"/>
      <c r="G7" s="12"/>
      <c r="H7" s="12"/>
      <c r="I7" s="12"/>
      <c r="J7" s="12"/>
      <c r="K7" s="5"/>
      <c r="M7" s="17"/>
      <c r="O7" s="10"/>
      <c r="P7" s="5"/>
      <c r="Q7" s="16"/>
      <c r="S7" s="13"/>
      <c r="T7" s="13"/>
      <c r="U7" s="13"/>
      <c r="V7" s="13"/>
    </row>
    <row r="8" spans="1:22" x14ac:dyDescent="0.2">
      <c r="A8" t="s">
        <v>125</v>
      </c>
    </row>
    <row r="9" spans="1:22" x14ac:dyDescent="0.2">
      <c r="A9" t="s">
        <v>42</v>
      </c>
    </row>
    <row r="10" spans="1:22" x14ac:dyDescent="0.2">
      <c r="A10" t="s">
        <v>1</v>
      </c>
    </row>
    <row r="11" spans="1:22" x14ac:dyDescent="0.2">
      <c r="A11" t="s">
        <v>127</v>
      </c>
    </row>
    <row r="12" spans="1:22" x14ac:dyDescent="0.2">
      <c r="A12" t="s">
        <v>44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4" spans="1:15" ht="12.75" customHeight="1" x14ac:dyDescent="0.2">
      <c r="A14" t="s">
        <v>53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30</v>
      </c>
      <c r="K14" t="s">
        <v>32</v>
      </c>
      <c r="L14" t="s">
        <v>33</v>
      </c>
      <c r="M14" t="s">
        <v>73</v>
      </c>
      <c r="N14" t="s">
        <v>57</v>
      </c>
      <c r="O14" t="s">
        <v>56</v>
      </c>
    </row>
    <row r="15" spans="1:15" ht="12.75" customHeight="1" x14ac:dyDescent="0.2">
      <c r="A15" s="10"/>
      <c r="B15" s="10"/>
    </row>
    <row r="16" spans="1:15" ht="12.75" customHeight="1" x14ac:dyDescent="0.2">
      <c r="D16">
        <f>SUBTOTAL(109,Details[Acquired])</f>
        <v>0</v>
      </c>
      <c r="E16">
        <f>SUBTOTAL(109,Details[Spent])</f>
        <v>0</v>
      </c>
      <c r="J16">
        <f>SUBTOTAL(109,Details[BNB Fee])</f>
        <v>0</v>
      </c>
      <c r="O16">
        <f>SUBTOTAL(103,Details[ID])</f>
        <v>0</v>
      </c>
    </row>
    <row r="24" spans="4:4" ht="12.75" customHeight="1" x14ac:dyDescent="0.2">
      <c r="D24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2025-10-08T15:06:39Z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