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A0685B79-6695-4D12-A980-D43FB3DBE62F}" xr6:coauthVersionLast="47" xr6:coauthVersionMax="47" xr10:uidLastSave="{00000000-0000-0000-0000-000000000000}"/>
  <bookViews>
    <workbookView xWindow="28680" yWindow="-120" windowWidth="29040" windowHeight="15720" tabRatio="580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4" i="1" a="1"/>
  <c r="B4" i="1" s="1"/>
  <c r="B9" i="1" a="1"/>
  <c r="B9" i="1" s="1"/>
  <c r="B8" i="1" a="1"/>
  <c r="B8" i="1" s="1"/>
  <c r="B7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0" i="1" a="1"/>
  <c r="B10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<sst xmlns="http://schemas.openxmlformats.org/spreadsheetml/2006/main" count="171" uniqueCount="145">
  <si>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</si>
  <si>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</si>
  <si>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</si>
  <si>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</si>
  <si>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</si>
  <si>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</si>
  <si>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</si>
  <si>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</si>
  <si>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</si>
  <si>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</si>
  <si>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</si>
  <si>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</si>
  <si>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</si>
  <si>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</si>
  <si>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</si>
  <si>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</si>
  <si>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</si>
  <si>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</si>
  <si>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</si>
  <si>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</si>
  <si>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</si>
  <si>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</si>
  <si>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</si>
  <si>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</si>
  <si>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</si>
  <si>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</si>
  <si>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</si>
  <si>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</si>
  <si>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</si>
  <si>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</si>
  <si>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</si>
  <si>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</si>
  <si>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</si>
  <si>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</si>
  <si>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</si>
  <si>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</si>
  <si>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</si>
  <si>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</si>
  <si>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</si>
  <si>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</si>
  <si>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</si>
  <si>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</si>
  <si>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</si>
  <si>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</si>
  <si>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</si>
  <si>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</si>
  <si>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</si>
  <si>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</si>
  <si>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</si>
  <si>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</si>
  <si>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</si>
  <si>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</si>
  <si>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</si>
  <si>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</si>
  <si>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</si>
  <si>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</si>
  <si>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</si>
  <si>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</si>
  <si>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Fiat Deposit</t>
  </si>
  <si>
    <t>Fiat Withdraw</t>
  </si>
  <si>
    <t>Fiat Buy</t>
  </si>
  <si>
    <t>Fiat Sell</t>
  </si>
  <si>
    <t>Crypto Deposit</t>
  </si>
  <si>
    <t>Crypto Withdraw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</si>
  <si>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</si>
  <si>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</si>
  <si>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</si>
  <si>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</si>
  <si>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</si>
  <si>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</si>
  <si>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</si>
  <si>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</si>
  <si>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</si>
  <si>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</si>
  <si>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Distribution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</si>
  <si>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</si>
  <si>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</si>
  <si>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</si>
  <si>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</si>
  <si>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</si>
  <si>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</si>
  <si>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</si>
  <si>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</si>
  <si>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</si>
  <si>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</si>
  <si>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</si>
  <si>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</si>
  <si>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</si>
  <si>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</si>
  <si>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</si>
  <si>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</si>
  <si>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Transfer</t>
  </si>
  <si>
    <t>Commision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</si>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</sst>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5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54"/>
    <tableColumn id="10" xr3:uid="{C254CAED-99FB-472A-8694-6B4E59FE47F3}" name="Evaluation Asset" dataDxfId="53"/>
    <tableColumn id="1" xr3:uid="{355CDFDF-675F-4DEC-817C-17FC7CFE7487}" name="Activity Start Date" dataDxfId="52"/>
    <tableColumn id="5" xr3:uid="{67155EC9-1196-4F2D-9401-88B27FBBDCC3}" name="Maker Fee" dataDxfId="51"/>
    <tableColumn id="6" xr3:uid="{262113F3-B82B-46FE-B8FD-5B4323E6DC2B}" name="Taker Fee" dataDxfId="50"/>
    <tableColumn id="7" xr3:uid="{21D2A591-ACD5-449F-94D3-3EB328F88B9F}" name="Buyer Fee" dataDxfId="49"/>
    <tableColumn id="8" xr3:uid="{718F0E26-0FF9-4BBB-BA98-18E85B0B8DA2}" name="Seller Fee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47">
      <calculatedColumnFormula>Wallet[[#This Row],[Static Amount]]+Wallet[[#This Row],[Dynamic Amount]]</calculatedColumnFormula>
    </tableColumn>
    <tableColumn id="4" xr3:uid="{6BD03EB5-C572-4866-BCD8-662B93F69C6B}" name="Total Cost" totalsRowFunction="sum" dataDxfId="46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45"/>
    <tableColumn id="5" xr3:uid="{7D6BA41C-60AE-4FDF-A8ED-199FDF3084F4}" name="Spot Cost" totalsRowFunction="sum" dataDxfId="44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3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2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1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T2" totalsRowShown="0">
  <autoFilter ref="I1:T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42DCE4A-05D1-4925-81C0-3234094E925F}" name=" "/>
    <tableColumn id="2" xr3:uid="{69862955-F45D-4FE5-9EB9-AE6F0C01AFDC}" name="Wallet" dataDxfId="40"/>
    <tableColumn id="3" xr3:uid="{496F3DEA-85DD-4658-83B5-F0A38E13C814}" name="Fiat Buy" dataDxfId="39"/>
    <tableColumn id="4" xr3:uid="{976B3AB6-32BC-4903-964B-D6306327EC3A}" name="Fiat Sell" dataDxfId="38"/>
    <tableColumn id="5" xr3:uid="{30F60354-2A73-4BDE-8A3A-97599788FD0F}" name="Fiat Deposit" dataDxfId="37"/>
    <tableColumn id="6" xr3:uid="{77D4C728-BBEA-4F52-B500-2FF17985ECA9}" name="Fiat Withdraw" dataDxfId="36"/>
    <tableColumn id="7" xr3:uid="{7AF7CAFE-256D-440A-9E46-0E0E62EDA58D}" name="Crypto Deposit" dataDxfId="35"/>
    <tableColumn id="8" xr3:uid="{393A80E1-A845-4DCA-A6DB-5A7ECE9427BE}" name="Crypto Withdraw" dataDxfId="34"/>
    <tableColumn id="9" xr3:uid="{24B88B35-3E3C-49DB-B738-AF5F80E0BE3E}" name="Convert" dataDxfId="33"/>
    <tableColumn id="10" xr3:uid="{2C4C24B5-7E14-4A96-9AF2-07CD957A4F40}" name="Distribution" dataDxfId="32"/>
    <tableColumn id="11" xr3:uid="{AE6480AE-7BCC-466E-91F5-C3695832F768}" name="Transfer" dataDxfId="31"/>
    <tableColumn id="12" xr3:uid="{BF0CAAF2-8228-4C83-9AFF-0BA2895994DD}" name="Dust Log" dataDxfId="3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29"/>
    <tableColumn id="7" xr3:uid="{641916A7-AD5A-4304-80BD-D8AAED6FCBC0}" name="Use for Evaluation" dataDxfId="28"/>
    <tableColumn id="65" xr3:uid="{1359C594-DA3A-4FC2-B7FC-DD8A47C9AAA0}" name="Markets" dataDxfId="27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26"/>
    <tableColumn id="2" xr3:uid="{0F1AC480-D7B7-4F2E-BA02-2230B5B325A1}" name="Applied" dataDxfId="25"/>
    <tableColumn id="3" xr3:uid="{9BBE3EE2-F501-41FB-847D-C25F2C5098C2}" name="Convert Order ID" dataDxfId="24"/>
    <tableColumn id="4" xr3:uid="{DAADDE0C-3AD0-4A03-9C16-C4F26D559DA1}" name="From Asset"/>
    <tableColumn id="5" xr3:uid="{39B97D4B-0C82-4F21-B9E1-AB41C5B9D131}" name="From Amount" dataDxfId="23"/>
    <tableColumn id="6" xr3:uid="{C2462DD8-88C1-4B61-B643-79DFD479B9C6}" name="Spot Wallet" dataDxfId="22"/>
    <tableColumn id="7" xr3:uid="{542DB8DD-BDED-4361-A83D-CDEB41F78E11}" name="Funding Wallet" dataDxfId="21"/>
    <tableColumn id="8" xr3:uid="{8F09C69A-0857-4691-8A8E-5E5E530E1174}" name="Earn Wallet" dataDxfId="20"/>
    <tableColumn id="9" xr3:uid="{ACF39040-97FA-4527-A0E9-EEADF10EA789}" name="Is Valid" dataDxfId="19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18"/>
    <tableColumn id="11" xr3:uid="{F4567656-CAE8-4928-85B1-736BEBE5A197}" name="To Amount" dataDxfId="17"/>
    <tableColumn id="13" xr3:uid="{A2734D08-B033-4769-B6C1-F8C66D7058AD}" name="Ratio" dataDxfId="16"/>
    <tableColumn id="10" xr3:uid="{3A9CC71F-A1C1-4007-8F59-4FF2999FF524}" name="Note" dataDxfId="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14"/>
    <tableColumn id="2" xr3:uid="{A6536661-3405-4582-951F-A6A14504D084}" name="Applied" dataDxfId="13"/>
    <tableColumn id="3" xr3:uid="{C79C3939-2F7D-45DF-9C6A-D1801FB8E863}" name="Dribblet Tx ID" dataDxfId="12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2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1"/>
    <tableColumn id="7" xr3:uid="{07D19152-2558-4F61-878E-9B51E845BDD5}" name="Observe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T6"/>
  <sheetViews>
    <sheetView tabSelected="1" workbookViewId="0">
      <pane ySplit="4" topLeftCell="A5" activePane="bottomLeft" state="frozen"/>
      <selection pane="bottomLeft" activeCell="B13" sqref="B13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</cols>
  <sheetData>
    <row r="1" spans="1:20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60</v>
      </c>
      <c r="L1" t="s">
        <v>61</v>
      </c>
      <c r="M1" t="s">
        <v>58</v>
      </c>
      <c r="N1" t="s">
        <v>59</v>
      </c>
      <c r="O1" t="s">
        <v>62</v>
      </c>
      <c r="P1" t="s">
        <v>63</v>
      </c>
      <c r="Q1" t="s">
        <v>20</v>
      </c>
      <c r="R1" t="s">
        <v>74</v>
      </c>
      <c r="S1" t="s">
        <v>91</v>
      </c>
      <c r="T1" t="s">
        <v>144</v>
      </c>
    </row>
    <row r="2" spans="1:20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4" spans="1:20" x14ac:dyDescent="0.2">
      <c r="A4" t="s">
        <v>7</v>
      </c>
      <c r="B4" t="s">
        <v>34</v>
      </c>
      <c r="C4" t="s">
        <v>123</v>
      </c>
      <c r="D4" t="s">
        <v>124</v>
      </c>
      <c r="E4" t="s">
        <v>117</v>
      </c>
      <c r="F4" t="s">
        <v>120</v>
      </c>
      <c r="G4" t="s">
        <v>118</v>
      </c>
      <c r="H4" t="s">
        <v>121</v>
      </c>
      <c r="I4" t="s">
        <v>119</v>
      </c>
      <c r="J4" t="s">
        <v>122</v>
      </c>
      <c r="K4" t="s">
        <v>131</v>
      </c>
      <c r="L4" t="s">
        <v>132</v>
      </c>
      <c r="M4" t="s">
        <v>133</v>
      </c>
      <c r="N4" t="s">
        <v>134</v>
      </c>
      <c r="O4" t="s">
        <v>125</v>
      </c>
    </row>
    <row r="6" spans="1:20" x14ac:dyDescent="0.2">
      <c r="A6">
        <f>SUBTOTAL(103,Wallet[Ticker])</f>
        <v>0</v>
      </c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17" activePane="bottomLeft" state="frozen"/>
      <selection pane="bottomLeft" activeCell="Q2" sqref="Q2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136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130</v>
      </c>
      <c r="G4" t="s">
        <v>37</v>
      </c>
      <c r="H4" t="s">
        <v>52</v>
      </c>
      <c r="I4" t="s">
        <v>53</v>
      </c>
      <c r="J4" t="s">
        <v>143</v>
      </c>
    </row>
    <row r="5" spans="1:11" x14ac:dyDescent="0.2">
      <c r="A5" t="s">
        <v>1</v>
      </c>
      <c r="B5" t="s">
        <v>139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140</v>
      </c>
      <c r="C7" t="s">
        <v>138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141</v>
      </c>
      <c r="C8" t="s">
        <v>138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142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55</v>
      </c>
      <c r="B1" t="s">
        <v>79</v>
      </c>
      <c r="C1" t="s">
        <v>75</v>
      </c>
      <c r="D1" t="s">
        <v>84</v>
      </c>
      <c r="E1" t="s">
        <v>81</v>
      </c>
      <c r="F1" t="s">
        <v>76</v>
      </c>
      <c r="G1" t="s">
        <v>77</v>
      </c>
      <c r="H1" t="s">
        <v>78</v>
      </c>
      <c r="I1" t="s">
        <v>80</v>
      </c>
      <c r="J1" t="s">
        <v>85</v>
      </c>
      <c r="K1" t="s">
        <v>83</v>
      </c>
      <c r="L1" t="s">
        <v>82</v>
      </c>
      <c r="M1" t="s">
        <v>68</v>
      </c>
      <c r="O1" t="s">
        <v>55</v>
      </c>
      <c r="P1" t="s">
        <v>79</v>
      </c>
      <c r="Q1" t="s">
        <v>90</v>
      </c>
      <c r="R1" t="s">
        <v>7</v>
      </c>
      <c r="S1" t="s">
        <v>86</v>
      </c>
      <c r="T1" t="s">
        <v>87</v>
      </c>
      <c r="U1" t="s">
        <v>88</v>
      </c>
      <c r="V1" t="s">
        <v>89</v>
      </c>
      <c r="W1" t="s">
        <v>94</v>
      </c>
      <c r="X1" t="s">
        <v>96</v>
      </c>
      <c r="Y1" t="s">
        <v>98</v>
      </c>
      <c r="Z1" t="s">
        <v>93</v>
      </c>
      <c r="AA1" t="s">
        <v>95</v>
      </c>
      <c r="AB1" t="s">
        <v>97</v>
      </c>
      <c r="AC1" t="s">
        <v>99</v>
      </c>
      <c r="AD1" t="s">
        <v>100</v>
      </c>
      <c r="AE1" t="s">
        <v>101</v>
      </c>
      <c r="AF1" t="s">
        <v>102</v>
      </c>
      <c r="AG1" t="s">
        <v>103</v>
      </c>
      <c r="AH1" t="s">
        <v>104</v>
      </c>
      <c r="AI1" t="s">
        <v>105</v>
      </c>
      <c r="AJ1" t="s">
        <v>106</v>
      </c>
      <c r="AK1" t="s">
        <v>107</v>
      </c>
      <c r="AL1" t="s">
        <v>108</v>
      </c>
      <c r="AM1" t="s">
        <v>109</v>
      </c>
      <c r="AN1" t="s">
        <v>110</v>
      </c>
      <c r="AO1" t="s">
        <v>111</v>
      </c>
      <c r="AP1" t="s">
        <v>112</v>
      </c>
      <c r="AQ1" t="s">
        <v>113</v>
      </c>
      <c r="AR1" t="s">
        <v>114</v>
      </c>
      <c r="AS1" t="s">
        <v>115</v>
      </c>
      <c r="AT1" t="s">
        <v>116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Normal="100" workbookViewId="0">
      <pane ySplit="16" topLeftCell="A17" activePane="bottomLeft" state="frozen"/>
      <selection pane="bottomLeft" activeCell="C1" sqref="C1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127</v>
      </c>
      <c r="I1" t="s">
        <v>29</v>
      </c>
      <c r="J1" t="s">
        <v>27</v>
      </c>
      <c r="K1" t="s">
        <v>10</v>
      </c>
      <c r="L1" t="s">
        <v>129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65</v>
      </c>
      <c r="E4">
        <f>SUMIF(Details[Operation],Summary[[#This Row],[In Operation]],Details[Acquired])</f>
        <v>0</v>
      </c>
      <c r="F4" t="s">
        <v>66</v>
      </c>
      <c r="G4">
        <f>SUMIF(Details[Operation],Summary[[#This Row],[Out Operation]],Details[Spent])</f>
        <v>0</v>
      </c>
      <c r="H4" t="s">
        <v>67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13</v>
      </c>
      <c r="E5">
        <f>SUMIF(Details[Operation],Summary[[#This Row],[In Operation]],Details[Acquired])</f>
        <v>0</v>
      </c>
      <c r="F5" t="s">
        <v>14</v>
      </c>
      <c r="G5">
        <f>SUMIF(Details[Operation],Summary[[#This Row],[Out Operation]],Details[Spent])</f>
        <v>0</v>
      </c>
      <c r="H5" t="s">
        <v>15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128</v>
      </c>
      <c r="D6" t="s">
        <v>12</v>
      </c>
      <c r="E6">
        <f>SUMIF(Details[Operation],Summary[[#This Row],[In Operation]],Details[Acquired])</f>
        <v>0</v>
      </c>
      <c r="F6" t="s">
        <v>16</v>
      </c>
      <c r="G6">
        <f>SUMIF(Details[Operation],Summary[[#This Row],[Out Operation]],Details[Spent])</f>
        <v>0</v>
      </c>
      <c r="H6" t="s">
        <v>17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20</v>
      </c>
      <c r="E7">
        <f>SUMIF(Details[Operation],Summary[[#This Row],[In Operation]],Details[Acquired])</f>
        <v>0</v>
      </c>
      <c r="F7" t="s">
        <v>18</v>
      </c>
      <c r="G7">
        <f>SUMIF(Details[Operation],Summary[[#This Row],[Out Operation]],Details[Spent])</f>
        <v>0</v>
      </c>
      <c r="H7" t="s">
        <v>19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135</v>
      </c>
      <c r="B8" t="e" cm="1">
        <f t="array" ref="B8">INDEX(Wallet[Dynamic Amount], MATCH(Markets[Ticker],Wallet[Ticker],0))</f>
        <v>#N/A</v>
      </c>
      <c r="D8" t="s">
        <v>35</v>
      </c>
      <c r="E8">
        <f>SUMIF(Details[Operation],Summary[[#This Row],[In Operation]],Details[Acquired])</f>
        <v>0</v>
      </c>
      <c r="F8" t="s">
        <v>69</v>
      </c>
      <c r="G8">
        <f>SUMIF(Details[Operation],Summary[[#This Row],[Out Operation]],Details[Spent])</f>
        <v>0</v>
      </c>
      <c r="H8" t="s">
        <v>70</v>
      </c>
      <c r="I8" cm="1">
        <f t="array" ref="I8">SUMIFS(Details[Charge],Details[Operation],Summary[[#This Row],[In Operation]])+SUMIFS(Details[Charge],Details[Operation],Summary[[#This Row],[Out Operation]],Details[Ticker],Markets[Ticker])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126</v>
      </c>
      <c r="B9" t="e" cm="1">
        <f t="array" ref="B9">Summary[[#Totals],[Balance]]-INDEX(Wallet[Static Amount], MATCH(Markets[Ticker],Wallet[Ticker],0))</f>
        <v>#N/A</v>
      </c>
      <c r="D9" t="s">
        <v>71</v>
      </c>
      <c r="E9">
        <f>SUMIF(Details[Operation],Summary[[#This Row],[In Operation]],Details[Acquired])</f>
        <v>0</v>
      </c>
      <c r="F9" t="s">
        <v>73</v>
      </c>
      <c r="G9">
        <f>SUMIF(Details[Operation],Summary[[#This Row],[Out Operation]],Details[Spent])</f>
        <v>0</v>
      </c>
      <c r="H9" t="s">
        <v>72</v>
      </c>
      <c r="I9" cm="1">
        <f t="array" ref="I9">SUMIFS(Details[Charge],Details[Operation],Summary[[#This Row],[In Operation]])+SUMIFS(Details[Charge],Details[Operation],Summary[[#This Row],[Out Operation]],Details[Ticker],Markets[Ticker])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56</v>
      </c>
      <c r="B10" s="11" cm="1">
        <f t="array" ref="B10">UserInfo[Activity Start Date]</f>
        <v>45809</v>
      </c>
      <c r="D10" t="s">
        <v>28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3" spans="1:15" ht="12.75" customHeight="1" x14ac:dyDescent="0.2">
      <c r="A13" t="s">
        <v>7</v>
      </c>
      <c r="B13" t="s">
        <v>137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92</v>
      </c>
      <c r="N16" t="s">
        <v>68</v>
      </c>
      <c r="O16" t="s">
        <v>64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2025-09-28T21:12:29Z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