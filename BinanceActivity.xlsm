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Work\Binance-Workbook\"/>
    </mc:Choice>
  </mc:AlternateContent>
  <xr:revisionPtr revIDLastSave="0" documentId="13_ncr:1_{2A65398F-50FC-449C-BE3E-337EF66F2AE8}" xr6:coauthVersionLast="47" xr6:coauthVersionMax="47" xr10:uidLastSave="{00000000-0000-0000-0000-000000000000}"/>
  <bookViews>
    <workbookView xWindow="28680" yWindow="-120" windowWidth="29040" windowHeight="15720" tabRatio="580" xr2:uid="{00000000-000D-0000-FFFF-FFFF00000000}"/>
  </bookViews>
  <sheets>
    <sheet name="Assets" sheetId="4" r:id="rId1"/>
    <sheet name="Currencies" sheetId="3" r:id="rId2"/>
    <sheet name="Misc" sheetId="27" r:id="rId3"/>
    <sheet name="Ledger Template" sheetId="1" r:id="rId4"/>
  </sheets>
  <functionGroups builtInGroupCount="19"/>
  <definedNames>
    <definedName name="_xlnm._FilterDatabase" localSheetId="1" hidden="1">'Currencies'!$A$4:$A$10</definedName>
    <definedName name="_xleta.AND" hidden="1" xlm="1">#NAME?</definedName>
    <definedName name="_xleta.COUNT" hidden="1" xlm="1">#NAME?</definedName>
    <definedName name="_xleta.PRICE" hidden="1" xlm="1">#NAME?</definedName>
    <definedName name="_xleta.SUM" hidden="1" xlm="1">#NAME?</definedName>
    <definedName name="_xleta.SUMIF" hidden="1" xlm="1">#NAME?</definedName>
    <definedName name="_xlnm.Criteria" localSheetId="1">'Currencies'!$I$4:$I$10</definedName>
    <definedName name="Test1">_xlfn._xlws.FILTER(Currencies[Ticker],Currencies[Use for Evaluation])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3" l="1"/>
  <c r="J6" i="3"/>
  <c r="J7" i="3"/>
  <c r="J8" i="3"/>
  <c r="J9" i="3"/>
  <c r="J10" i="3"/>
  <c r="G9" i="3"/>
  <c r="G7" i="3"/>
  <c r="G6" i="3"/>
  <c r="G5" i="3"/>
  <c r="B4" i="1" a="1"/>
  <c r="B4" i="1" s="1"/>
  <c r="B9" i="1" a="1"/>
  <c r="B9" i="1" s="1"/>
  <c r="B8" i="1" a="1"/>
  <c r="B8" i="1" s="1"/>
  <c r="B7" i="1"/>
  <c r="G10" i="1"/>
  <c r="I2" i="1" a="1"/>
  <c r="I2" i="1" s="1"/>
  <c r="I10" i="1" s="1"/>
  <c r="I3" i="1" a="1"/>
  <c r="I3" i="1" s="1"/>
  <c r="J3" i="1" s="1"/>
  <c r="I4" i="1" a="1"/>
  <c r="I4" i="1" s="1"/>
  <c r="I5" i="1" a="1"/>
  <c r="I5" i="1" s="1"/>
  <c r="I6" i="1" a="1"/>
  <c r="I6" i="1" s="1"/>
  <c r="J6" i="1" s="1"/>
  <c r="I7" i="1" a="1"/>
  <c r="I7" i="1" s="1"/>
  <c r="J7" i="1" s="1"/>
  <c r="I8" i="1" a="1"/>
  <c r="I8" i="1" s="1"/>
  <c r="I9" i="1" a="1"/>
  <c r="I9" i="1" s="1"/>
  <c r="J18" i="1"/>
  <c r="E18" i="1"/>
  <c r="D18" i="1"/>
  <c r="G2" i="1"/>
  <c r="G3" i="1"/>
  <c r="G4" i="1"/>
  <c r="G5" i="1"/>
  <c r="G6" i="1"/>
  <c r="G7" i="1"/>
  <c r="G8" i="1"/>
  <c r="G9" i="1"/>
  <c r="K2" i="1"/>
  <c r="K10" i="1" s="1"/>
  <c r="K3" i="1"/>
  <c r="K4" i="1"/>
  <c r="K5" i="1"/>
  <c r="K6" i="1"/>
  <c r="K7" i="1"/>
  <c r="K8" i="1"/>
  <c r="K9" i="1"/>
  <c r="E2" i="1"/>
  <c r="E10" i="1" s="1"/>
  <c r="E3" i="1"/>
  <c r="E4" i="1"/>
  <c r="E5" i="1"/>
  <c r="E6" i="1"/>
  <c r="E7" i="1"/>
  <c r="E8" i="1"/>
  <c r="E9" i="1"/>
  <c r="B10" i="1" a="1"/>
  <c r="B10" i="1" s="1"/>
  <c r="G10" i="3"/>
  <c r="G8" i="3"/>
  <c r="A6" i="4"/>
  <c r="O18" i="1"/>
  <c r="J8" i="1" l="1"/>
  <c r="J5" i="1"/>
  <c r="J9" i="1"/>
  <c r="J4" i="1"/>
  <c r="J2" i="1"/>
  <c r="J10" i="1" s="1"/>
  <c r="J6" i="4"/>
  <c r="H6" i="4"/>
  <c r="D6" i="4"/>
  <c r="F6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<sst xmlns="http://schemas.openxmlformats.org/spreadsheetml/2006/main" count="173" uniqueCount="148">
  <si>
    <t>Type</t>
  </si>
  <si>
    <t>BTC</t>
  </si>
  <si>
    <t>USDC</t>
  </si>
  <si>
    <t>Crypto</t>
  </si>
  <si>
    <t>Wallet</t>
  </si>
  <si>
    <t>Operation</t>
  </si>
  <si>
    <t>Name</t>
  </si>
  <si>
    <t>Ticker</t>
  </si>
  <si>
    <t>Base Trade</t>
  </si>
  <si>
    <t>Quote Trade</t>
  </si>
  <si>
    <t>BNB fees</t>
  </si>
  <si>
    <t>income</t>
  </si>
  <si>
    <t>Internal Transfer</t>
  </si>
  <si>
    <t>External Transfer</t>
  </si>
  <si>
    <t>deposit</t>
  </si>
  <si>
    <t>withdraw</t>
  </si>
  <si>
    <t>wallet-in</t>
  </si>
  <si>
    <t>wallet-out</t>
  </si>
  <si>
    <t>convert-in</t>
  </si>
  <si>
    <t>convert-out</t>
  </si>
  <si>
    <t>Convert</t>
  </si>
  <si>
    <t>buy</t>
  </si>
  <si>
    <t>sell</t>
  </si>
  <si>
    <t>Activity</t>
  </si>
  <si>
    <t>Acquired</t>
  </si>
  <si>
    <t>Spent</t>
  </si>
  <si>
    <t>In Operation</t>
  </si>
  <si>
    <t>Balance</t>
  </si>
  <si>
    <t>Total</t>
  </si>
  <si>
    <t>Charge</t>
  </si>
  <si>
    <t>BNB Fee</t>
  </si>
  <si>
    <t>expence</t>
  </si>
  <si>
    <t>Debit</t>
  </si>
  <si>
    <t>Credit</t>
  </si>
  <si>
    <t>Price</t>
  </si>
  <si>
    <t>Binance</t>
  </si>
  <si>
    <t>Quotes</t>
  </si>
  <si>
    <t>Format</t>
  </si>
  <si>
    <t>EUR</t>
  </si>
  <si>
    <t>Test Value</t>
  </si>
  <si>
    <t>USD</t>
  </si>
  <si>
    <t>Amount</t>
  </si>
  <si>
    <t>ETH</t>
  </si>
  <si>
    <t>Bases</t>
  </si>
  <si>
    <t>USDT</t>
  </si>
  <si>
    <t>Ethereum</t>
  </si>
  <si>
    <t>UID</t>
  </si>
  <si>
    <t>Maker Fee</t>
  </si>
  <si>
    <t>Taker Fee</t>
  </si>
  <si>
    <t>Buyer Fee</t>
  </si>
  <si>
    <t>Seller Fee</t>
  </si>
  <si>
    <t>Evaluation Asset</t>
  </si>
  <si>
    <t>Keep on Compact</t>
  </si>
  <si>
    <t>Use for Evaluation</t>
  </si>
  <si>
    <t>Last Update</t>
  </si>
  <si>
    <t>Stamp</t>
  </si>
  <si>
    <t>Activity Start Date</t>
  </si>
  <si>
    <t xml:space="preserve"> </t>
  </si>
  <si>
    <t>ID</t>
  </si>
  <si>
    <t>Fiat Trade</t>
  </si>
  <si>
    <t>fiat-buy</t>
  </si>
  <si>
    <t>fiat-sell</t>
  </si>
  <si>
    <t>Note</t>
  </si>
  <si>
    <t>distribution</t>
  </si>
  <si>
    <t>commission</t>
  </si>
  <si>
    <t>Dust</t>
  </si>
  <si>
    <t>dust-out</t>
  </si>
  <si>
    <t>dust-in</t>
  </si>
  <si>
    <t>Convert Order ID</t>
  </si>
  <si>
    <t>Spot Wallet</t>
  </si>
  <si>
    <t>Funding Wallet</t>
  </si>
  <si>
    <t>Earn Wallet</t>
  </si>
  <si>
    <t>Applied</t>
  </si>
  <si>
    <t>Is Valid</t>
  </si>
  <si>
    <t>From Amount</t>
  </si>
  <si>
    <t>Ratio</t>
  </si>
  <si>
    <t>To Amount</t>
  </si>
  <si>
    <t>From Asset</t>
  </si>
  <si>
    <t>To Asset</t>
  </si>
  <si>
    <t>Coin 1</t>
  </si>
  <si>
    <t>Amount 1</t>
  </si>
  <si>
    <t>Charge 1</t>
  </si>
  <si>
    <t>Volume 1</t>
  </si>
  <si>
    <t>Dribblet Tx ID</t>
  </si>
  <si>
    <t>Commision</t>
  </si>
  <si>
    <t>Volume 2</t>
  </si>
  <si>
    <t>Coin 2</t>
  </si>
  <si>
    <t>Coin 3</t>
  </si>
  <si>
    <t>Amount 2</t>
  </si>
  <si>
    <t>Amount 3</t>
  </si>
  <si>
    <t>Charge 2</t>
  </si>
  <si>
    <t>Charge 3</t>
  </si>
  <si>
    <t>Volume 3</t>
  </si>
  <si>
    <t>Coin 4</t>
  </si>
  <si>
    <t>Amount 4</t>
  </si>
  <si>
    <t>Charge 4</t>
  </si>
  <si>
    <t>Volume 4</t>
  </si>
  <si>
    <t>Coin 5</t>
  </si>
  <si>
    <t>Amount 5</t>
  </si>
  <si>
    <t>Charge 5</t>
  </si>
  <si>
    <t>Volume 5</t>
  </si>
  <si>
    <t>Coin 6</t>
  </si>
  <si>
    <t>Amount 6</t>
  </si>
  <si>
    <t>Charge 6</t>
  </si>
  <si>
    <t>Volume 6</t>
  </si>
  <si>
    <t>Coin 7</t>
  </si>
  <si>
    <t>Amount 7</t>
  </si>
  <si>
    <t>Charge 7</t>
  </si>
  <si>
    <t>Volume 7</t>
  </si>
  <si>
    <t>Spot Amount</t>
  </si>
  <si>
    <t>Funding Amount</t>
  </si>
  <si>
    <t>Earn Amount</t>
  </si>
  <si>
    <t>Spot Cost</t>
  </si>
  <si>
    <t>Funding Cost</t>
  </si>
  <si>
    <t>Earn Cost</t>
  </si>
  <si>
    <t>Total Amount</t>
  </si>
  <si>
    <t>Total Cost</t>
  </si>
  <si>
    <t>Deviation</t>
  </si>
  <si>
    <t>Diviation</t>
  </si>
  <si>
    <t>Out Operation</t>
  </si>
  <si>
    <t>Evaluation</t>
  </si>
  <si>
    <t>Last Updated</t>
  </si>
  <si>
    <t>Precision</t>
  </si>
  <si>
    <t>Dynamic Amount</t>
  </si>
  <si>
    <t>Dynamic Cost</t>
  </si>
  <si>
    <t>Static Amount</t>
  </si>
  <si>
    <t>Static Cost</t>
  </si>
  <si>
    <t>Dynamic</t>
  </si>
  <si>
    <t>Exchange Timezone</t>
  </si>
  <si>
    <t>Observed</t>
  </si>
  <si>
    <t>Fiat</t>
  </si>
  <si>
    <t>Bitcoin</t>
  </si>
  <si>
    <t>Euro</t>
  </si>
  <si>
    <t>US Dollar</t>
  </si>
  <si>
    <t>Tether</t>
  </si>
  <si>
    <t>Markets</t>
  </si>
  <si>
    <t>Dust Log</t>
  </si>
  <si>
    <t>Fiat Buys</t>
  </si>
  <si>
    <t>Fiat Sells</t>
  </si>
  <si>
    <t>Fiat Deposits</t>
  </si>
  <si>
    <t>Fiat Withdraws</t>
  </si>
  <si>
    <t>Crypto Deposits</t>
  </si>
  <si>
    <t>Crypto Withdraws</t>
  </si>
  <si>
    <t>Distributions</t>
  </si>
  <si>
    <t>Transfers</t>
  </si>
  <si>
    <t>Conversions</t>
  </si>
  <si>
    <t>Flexible Earns</t>
  </si>
  <si>
    <t>Locked Earns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</si>
</sst>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[$€-2]\ #,##0.00;[Red][$€-2]\ #,##0.00"/>
    <numFmt numFmtId="165" formatCode="&quot;$&quot;\ #,##0.00;[Red]&quot;$&quot;\ #,##0.00"/>
    <numFmt numFmtId="166" formatCode="\₿\ #,##0.0#######;[Red]\₿\ #,##0.0#######"/>
    <numFmt numFmtId="167" formatCode="#,##0.00######&quot; USDC&quot;;[Red]#,##0.00######&quot; USDC&quot;"/>
    <numFmt numFmtId="168" formatCode="#,##0.00######&quot; USD₮&quot;;[Red]#,##0.00######&quot; USD₮&quot;"/>
    <numFmt numFmtId="169" formatCode="\Ξ\ #,##0.0#######;[Red]\Ξ\ #,##0.0#######"/>
    <numFmt numFmtId="170" formatCode="0.000000%"/>
    <numFmt numFmtId="171" formatCode="yyyy\-mm\-dd\ hh:mm:ss"/>
    <numFmt numFmtId="172" formatCode="[$-F800]dddd\,\ mmmm\ dd\,\ yyyy"/>
  </numFmts>
  <fonts count="2" x14ac:knownFonts="1">
    <font>
      <sz val="10"/>
      <name val="Arial"/>
      <family val="2"/>
      <charset val="204"/>
    </font>
    <font>
      <sz val="8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168" fontId="0" fillId="0" borderId="0" xfId="0" applyNumberFormat="1"/>
    <xf numFmtId="169" fontId="0" fillId="0" borderId="0" xfId="0" applyNumberFormat="1"/>
    <xf numFmtId="14" fontId="0" fillId="0" borderId="0" xfId="0" applyNumberForma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6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yyyy\-mm\-dd\ hh:mm:ss"/>
    </dxf>
    <dxf>
      <numFmt numFmtId="171" formatCode="yyyy\-mm\-dd\ hh:mm:ss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00000%"/>
    </dxf>
    <dxf>
      <numFmt numFmtId="170" formatCode="0.000000%"/>
    </dxf>
    <dxf>
      <numFmt numFmtId="170" formatCode="0.000000%"/>
    </dxf>
    <dxf>
      <numFmt numFmtId="170" formatCode="0.000000%"/>
    </dxf>
    <dxf>
      <numFmt numFmtId="172" formatCode="[$-F800]dddd\,\ mmmm\ dd\,\ 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XFControls"/>
  <bag type="XFComplement">
    <bagId k="XFControls">4</bagId>
  </bag>
  <bag type="DXFComplements" extRef="DXFComplementsMapperExtRef">
    <a k="MappedFeaturePropertyBags">
      <bagId>2</bagId>
      <bagId>5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22B1076-73BB-4134-BEEC-08A0FAA6BF81}" name="UserInfo" displayName="UserInfo" ref="A1:G2" totalsRowShown="0">
  <autoFilter ref="A1:G2" xr:uid="{A22B1076-73BB-4134-BEEC-08A0FAA6BF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9" xr3:uid="{305E2AF0-89F6-409D-9435-A14454E133F4}" name="UID" dataDxfId="63"/>
    <tableColumn id="10" xr3:uid="{C254CAED-99FB-472A-8694-6B4E59FE47F3}" name="Evaluation Asset" dataDxfId="62"/>
    <tableColumn id="1" xr3:uid="{355CDFDF-675F-4DEC-817C-17FC7CFE7487}" name="Activity Start Date" dataDxfId="61"/>
    <tableColumn id="5" xr3:uid="{67155EC9-1196-4F2D-9401-88B27FBBDCC3}" name="Maker Fee" dataDxfId="60"/>
    <tableColumn id="6" xr3:uid="{262113F3-B82B-46FE-B8FD-5B4323E6DC2B}" name="Taker Fee" dataDxfId="59"/>
    <tableColumn id="7" xr3:uid="{21D2A591-ACD5-449F-94D3-3EB328F88B9F}" name="Buyer Fee" dataDxfId="58"/>
    <tableColumn id="8" xr3:uid="{718F0E26-0FF9-4BBB-BA98-18E85B0B8DA2}" name="Seller Fee" dataDxfId="5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5115445-9952-4A52-9DBF-4AA7DEA24FF6}" name="Wallet" displayName="Wallet" ref="A4:O6" insertRow="1" totalsRowCount="1">
  <autoFilter ref="A4:O5" xr:uid="{85115445-9952-4A52-9DBF-4AA7DEA24FF6}"/>
  <tableColumns count="15">
    <tableColumn id="2" xr3:uid="{FDF60DEB-7927-4B56-A36C-868C246945B9}" name="Ticker" totalsRowFunction="count"/>
    <tableColumn id="15" xr3:uid="{3978548E-6253-41DF-BA59-AA3718880C62}" name="Price"/>
    <tableColumn id="3" xr3:uid="{89968980-2315-475B-A06C-19BC51CDE092}" name="Total Amount" dataDxfId="56" totalsRowDxfId="6">
      <calculatedColumnFormula>Wallet[[#This Row],[Static Amount]]+Wallet[[#This Row],[Dynamic Amount]]</calculatedColumnFormula>
    </tableColumn>
    <tableColumn id="4" xr3:uid="{6BD03EB5-C572-4866-BCD8-662B93F69C6B}" name="Total Cost" totalsRowFunction="sum" dataDxfId="55" totalsRowDxfId="5">
      <calculatedColumnFormula>IF(ISBLANK(Wallet[[#This Row],[Price]]),"",Wallet[[#This Row],[Price]]*Wallet[[#This Row],[Total Amount]])</calculatedColumnFormula>
    </tableColumn>
    <tableColumn id="7" xr3:uid="{ADB4BBC5-7655-43CE-9F92-633B7CAA84FC}" name="Spot Amount" dataDxfId="54" totalsRowDxfId="4"/>
    <tableColumn id="5" xr3:uid="{7D6BA41C-60AE-4FDF-A8ED-199FDF3084F4}" name="Spot Cost" totalsRowFunction="sum" dataDxfId="53" totalsRowDxfId="3">
      <calculatedColumnFormula>IF(ISBLANK(Wallet[[#This Row],[Price]]),"",Wallet[[#This Row],[Price]]*Wallet[[#This Row],[Spot Amount]])</calculatedColumnFormula>
    </tableColumn>
    <tableColumn id="6" xr3:uid="{7A7571B9-8EC3-4D72-A88D-3E2304A30231}" name="Funding Amount"/>
    <tableColumn id="11" xr3:uid="{6AA452C6-80E7-4FB9-8211-C7FF251AABA8}" name="Funding Cost" totalsRowFunction="sum" dataDxfId="52" totalsRowDxfId="2">
      <calculatedColumnFormula>IF(ISBLANK(Wallet[[#This Row],[Price]]),"",Wallet[[#This Row],[Price]]*Wallet[[#This Row],[Funding Amount]])</calculatedColumnFormula>
    </tableColumn>
    <tableColumn id="14" xr3:uid="{C27555ED-A184-4ED5-9D38-365A2ABB9AE2}" name="Earn Amount"/>
    <tableColumn id="12" xr3:uid="{7B881B25-9DC5-43A9-B7E2-C426A490136A}" name="Earn Cost" totalsRowFunction="sum" dataDxfId="51" totalsRowDxfId="1">
      <calculatedColumnFormula>IF(ISBLANK(Wallet[[#This Row],[Price]]),"",Wallet[[#This Row],[Price]]*Wallet[[#This Row],[Earn Amount]])</calculatedColumnFormula>
    </tableColumn>
    <tableColumn id="8" xr3:uid="{ED427027-7453-4B62-9F2A-C56EE5D72349}" name="Dynamic Amount"/>
    <tableColumn id="13" xr3:uid="{6DAAB8AF-1E72-48C4-A499-4897732500D2}" name="Dynamic Cost"/>
    <tableColumn id="16" xr3:uid="{78744627-CB70-46BC-8941-F295AB38EB06}" name="Static Amount" dataDxfId="50" totalsRowDxfId="0">
      <calculatedColumnFormula>Wallet[[#This Row],[Spot Amount]]+Wallet[[#This Row],[Funding Amount]]+Wallet[[#This Row],[Earn Amount]]</calculatedColumnFormula>
    </tableColumn>
    <tableColumn id="17" xr3:uid="{1670F9B6-0901-4948-B167-56F64A8A8214}" name="Static Cost"/>
    <tableColumn id="1" xr3:uid="{FCA75428-21C8-49ED-BEDD-C81E9C1D8EA0}" name="Deviation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E79726F2-4B7B-43E0-8740-C52473E1560B}" name="LastUpdate" displayName="LastUpdate" ref="I1:V2" totalsRowShown="0">
  <autoFilter ref="I1:V2" xr:uid="{E79726F2-4B7B-43E0-8740-C52473E1560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442DCE4A-05D1-4925-81C0-3234094E925F}" name=" "/>
    <tableColumn id="2" xr3:uid="{69862955-F45D-4FE5-9EB9-AE6F0C01AFDC}" name="Wallet" dataDxfId="49"/>
    <tableColumn id="3" xr3:uid="{496F3DEA-85DD-4658-83B5-F0A38E13C814}" name="Transfers" dataDxfId="48"/>
    <tableColumn id="4" xr3:uid="{976B3AB6-32BC-4903-964B-D6306327EC3A}" name="Conversions" dataDxfId="47"/>
    <tableColumn id="5" xr3:uid="{30F60354-2A73-4BDE-8A3A-97599788FD0F}" name="Dust Log" dataDxfId="46"/>
    <tableColumn id="6" xr3:uid="{77D4C728-BBEA-4F52-B500-2FF17985ECA9}" name="Fiat Buys" dataDxfId="45"/>
    <tableColumn id="7" xr3:uid="{7AF7CAFE-256D-440A-9E46-0E0E62EDA58D}" name="Fiat Sells" dataDxfId="44"/>
    <tableColumn id="8" xr3:uid="{393A80E1-A845-4DCA-A6DB-5A7ECE9427BE}" name="Fiat Deposits" dataDxfId="43"/>
    <tableColumn id="9" xr3:uid="{24B88B35-3E3C-49DB-B738-AF5F80E0BE3E}" name="Fiat Withdraws" dataDxfId="42"/>
    <tableColumn id="10" xr3:uid="{2C4C24B5-7E14-4A96-9AF2-07CD957A4F40}" name="Crypto Deposits" dataDxfId="41"/>
    <tableColumn id="11" xr3:uid="{AE6480AE-7BCC-466E-91F5-C3695832F768}" name="Crypto Withdraws" dataDxfId="40"/>
    <tableColumn id="12" xr3:uid="{BF0CAAF2-8228-4C83-9AFF-0BA2895994DD}" name="Distributions" dataDxfId="39"/>
    <tableColumn id="13" xr3:uid="{5AEF5894-F0F1-4E77-8B5D-C6BB2EAFBA9A}" name="Flexible Earns" dataDxfId="38"/>
    <tableColumn id="14" xr3:uid="{4F04E910-29EC-43FA-ADF2-7C9081584FCC}" name="Locked Earns" dataDxfId="37"/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AAC5E2-77F7-4EAD-B980-99862E98D4E4}" name="Currencies" displayName="Currencies" ref="A4:J10" totalsRowShown="0">
  <autoFilter ref="A4:J10" xr:uid="{90AAC5E2-77F7-4EAD-B980-99862E98D4E4}"/>
  <tableColumns count="10">
    <tableColumn id="1" xr3:uid="{C8ACBAF2-6227-481F-91F6-63CB28256933}" name="Ticker"/>
    <tableColumn id="2" xr3:uid="{FA3A56E9-64E5-4A2C-8556-01EEC008DFB9}" name="Name"/>
    <tableColumn id="3" xr3:uid="{D857CE50-AC01-418F-BA05-9E6A775BBDCA}" name="Type"/>
    <tableColumn id="6" xr3:uid="{9003141B-D1E5-494E-AE16-8125D8932F99}" name="Bases"/>
    <tableColumn id="4" xr3:uid="{2F49A506-025A-49DC-B35A-C515FBD08F52}" name="Quotes"/>
    <tableColumn id="40" xr3:uid="{07535C52-41EF-45FD-B500-B4669D4EAC40}" name="Precision"/>
    <tableColumn id="8" xr3:uid="{904CA356-8E26-43B4-B455-46B5647D9001}" name="Format">
      <calculatedColumnFormula>Format[Test Value]</calculatedColumnFormula>
    </tableColumn>
    <tableColumn id="10" xr3:uid="{652F7204-E165-4329-9275-A74CFEA33A5E}" name="Keep on Compact" dataDxfId="36"/>
    <tableColumn id="7" xr3:uid="{641916A7-AD5A-4304-80BD-D8AAED6FCBC0}" name="Use for Evaluation" dataDxfId="35"/>
    <tableColumn id="65" xr3:uid="{1359C594-DA3A-4FC2-B7FC-DD8A47C9AAA0}" name="Markets" dataDxfId="7">
      <calculatedColumnFormula>0</calculatedColumnFormula>
    </tableColumn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BC603A6-CAB9-414B-98D1-60C2A4CA406A}" name="Format" displayName="Format" ref="G1:G2" totalsRowShown="0">
  <autoFilter ref="G1:G2" xr:uid="{8BC603A6-CAB9-414B-98D1-60C2A4CA406A}">
    <filterColumn colId="0" hiddenButton="1"/>
  </autoFilter>
  <tableColumns count="1">
    <tableColumn id="1" xr3:uid="{23E22FE6-590E-4082-BD5F-2260B4A16361}" name="Test Value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0972557-0DD9-42EA-829E-2DEE2B3AF76F}" name="Timezone" displayName="Timezone" ref="B1:B2" totalsRowShown="0">
  <autoFilter ref="B1:B2" xr:uid="{B0972557-0DD9-42EA-829E-2DEE2B3AF76F}">
    <filterColumn colId="0" hiddenButton="1"/>
  </autoFilter>
  <tableColumns count="1">
    <tableColumn id="1" xr3:uid="{B986B033-BBD1-44B0-97E3-D64A2BE75DDD}" name="Exchange Timezon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B067E519-38EF-47E3-B766-327C573FAEE7}" name="Converts" displayName="Converts" ref="A1:M2" insertRow="1" totalsRowShown="0">
  <autoFilter ref="A1:M2" xr:uid="{B067E519-38EF-47E3-B766-327C573FAEE7}"/>
  <sortState xmlns:xlrd2="http://schemas.microsoft.com/office/spreadsheetml/2017/richdata2" ref="A2:M2">
    <sortCondition ref="A2"/>
  </sortState>
  <tableColumns count="13">
    <tableColumn id="1" xr3:uid="{C5652673-C5A6-4AFB-A611-D2DC6E99F37E}" name="Stamp" dataDxfId="34"/>
    <tableColumn id="2" xr3:uid="{0F1AC480-D7B7-4F2E-BA02-2230B5B325A1}" name="Applied" dataDxfId="33"/>
    <tableColumn id="3" xr3:uid="{9BBE3EE2-F501-41FB-847D-C25F2C5098C2}" name="Convert Order ID" dataDxfId="32"/>
    <tableColumn id="4" xr3:uid="{DAADDE0C-3AD0-4A03-9C16-C4F26D559DA1}" name="From Asset"/>
    <tableColumn id="5" xr3:uid="{39B97D4B-0C82-4F21-B9E1-AB41C5B9D131}" name="From Amount" dataDxfId="31"/>
    <tableColumn id="6" xr3:uid="{C2462DD8-88C1-4B61-B643-79DFD479B9C6}" name="Spot Wallet" dataDxfId="30"/>
    <tableColumn id="7" xr3:uid="{542DB8DD-BDED-4361-A83D-CDEB41F78E11}" name="Funding Wallet" dataDxfId="29"/>
    <tableColumn id="8" xr3:uid="{8F09C69A-0857-4691-8A8E-5E5E530E1174}" name="Earn Wallet" dataDxfId="28"/>
    <tableColumn id="9" xr3:uid="{ACF39040-97FA-4527-A0E9-EEADF10EA789}" name="Is Valid" dataDxfId="27">
      <calculatedColumnFormula>AND(SUM(Converts[[#This Row],[Spot Wallet]:[Earn Wallet]])=Converts[[#This Row],[From Amount]],PRODUCT(Converts[[#This Row],[Spot Wallet]:[Earn Wallet]])&gt;0)</calculatedColumnFormula>
    </tableColumn>
    <tableColumn id="12" xr3:uid="{DA89DFA5-9F2A-4913-8F90-F9772FF286A6}" name="To Asset" dataDxfId="26"/>
    <tableColumn id="11" xr3:uid="{F4567656-CAE8-4928-85B1-736BEBE5A197}" name="To Amount" dataDxfId="25"/>
    <tableColumn id="13" xr3:uid="{A2734D08-B033-4769-B6C1-F8C66D7058AD}" name="Ratio" dataDxfId="24"/>
    <tableColumn id="10" xr3:uid="{3A9CC71F-A1C1-4007-8F59-4FF2999FF524}" name="Note" dataDxfId="2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7A016EAE-CE7C-4C20-9651-50D3D8A0E41C}" name="Dribblets" displayName="Dribblets" ref="O1:AT2" insertRow="1" totalsRowShown="0">
  <autoFilter ref="O1:AT2" xr:uid="{7A016EAE-CE7C-4C20-9651-50D3D8A0E41C}"/>
  <sortState xmlns:xlrd2="http://schemas.microsoft.com/office/spreadsheetml/2017/richdata2" ref="O2:AT2">
    <sortCondition ref="O2"/>
  </sortState>
  <tableColumns count="32">
    <tableColumn id="1" xr3:uid="{3033F95D-78D6-4DCC-8CAF-28F566221EAA}" name="Stamp" dataDxfId="22"/>
    <tableColumn id="2" xr3:uid="{A6536661-3405-4582-951F-A6A14504D084}" name="Applied" dataDxfId="21"/>
    <tableColumn id="3" xr3:uid="{C79C3939-2F7D-45DF-9C6A-D1801FB8E863}" name="Dribblet Tx ID" dataDxfId="20"/>
    <tableColumn id="4" xr3:uid="{D164491F-1DF0-445B-8289-CF28D6FA38B6}" name="Ticker"/>
    <tableColumn id="5" xr3:uid="{411425D9-43F6-40DF-AEA0-FF73055F5917}" name="Coin 1"/>
    <tableColumn id="6" xr3:uid="{F516F051-5B89-4C3A-BD8A-548168707ECF}" name="Amount 1"/>
    <tableColumn id="7" xr3:uid="{A2447165-E087-4636-9FD4-900058244811}" name="Charge 1"/>
    <tableColumn id="8" xr3:uid="{C6364AAF-0A30-463E-8BB8-B76149123486}" name="Volume 1"/>
    <tableColumn id="37" xr3:uid="{11662325-D667-4CEA-97C2-AA42B0CDFF82}" name="Coin 2"/>
    <tableColumn id="38" xr3:uid="{04823BFB-7DC3-4A22-B6B0-BD8E9C3B16F0}" name="Amount 2"/>
    <tableColumn id="39" xr3:uid="{AE678929-1BC4-4842-80EF-DD09FA23A81B}" name="Charge 2"/>
    <tableColumn id="40" xr3:uid="{56651798-75E5-4174-891A-389C5ACF6AB6}" name="Volume 2"/>
    <tableColumn id="41" xr3:uid="{A2C3108A-3F1D-4DD5-B25B-FE08C7A182F8}" name="Coin 3"/>
    <tableColumn id="42" xr3:uid="{BA9D8C9C-4300-450A-9ECA-3CD5AC11182B}" name="Amount 3"/>
    <tableColumn id="43" xr3:uid="{57A6A292-FAB1-4EE5-BB99-D2B07430CDE3}" name="Charge 3"/>
    <tableColumn id="44" xr3:uid="{B0B8FF2F-F07A-42AC-B692-F30010167158}" name="Volume 3"/>
    <tableColumn id="45" xr3:uid="{095EC969-845C-4FFD-9D14-ADB406CDCCC3}" name="Coin 4"/>
    <tableColumn id="46" xr3:uid="{927193E2-B6C2-44CC-A91E-7BBD3DD38B47}" name="Amount 4"/>
    <tableColumn id="47" xr3:uid="{712557BC-40B1-4927-A274-C633890E1A1A}" name="Charge 4"/>
    <tableColumn id="48" xr3:uid="{5E305F29-8E77-4686-A826-36870A952018}" name="Volume 4"/>
    <tableColumn id="49" xr3:uid="{623E2340-F772-459C-AF05-1FD4B66457F0}" name="Coin 5"/>
    <tableColumn id="50" xr3:uid="{0C89C890-A575-4875-BC5D-3BE53658B8E9}" name="Amount 5"/>
    <tableColumn id="51" xr3:uid="{D4E93EA1-31C8-450A-9265-14FA8C925BE4}" name="Charge 5"/>
    <tableColumn id="52" xr3:uid="{90C2A9B2-2DDB-4BB6-9334-2A56CA839355}" name="Volume 5"/>
    <tableColumn id="53" xr3:uid="{DE092B61-5032-48E0-B27A-7BA656367C3C}" name="Coin 6"/>
    <tableColumn id="54" xr3:uid="{416A8A5A-6379-47FE-A0BB-E33C66CEB21F}" name="Amount 6"/>
    <tableColumn id="55" xr3:uid="{AB38FA50-9A29-4920-A997-162BF132722F}" name="Charge 6"/>
    <tableColumn id="56" xr3:uid="{EE13F193-EF1A-4C29-98D3-E91B83F58290}" name="Volume 6"/>
    <tableColumn id="57" xr3:uid="{47479318-AEC3-4ABA-B5D9-A6D1BA9DA5E6}" name="Coin 7"/>
    <tableColumn id="58" xr3:uid="{0C76F107-F51F-44F5-A793-D4FB6C1A72BB}" name="Amount 7"/>
    <tableColumn id="59" xr3:uid="{21DD3278-C836-4D61-8188-E7945C7BFA4F}" name="Charge 7"/>
    <tableColumn id="60" xr3:uid="{E4259108-943C-47BF-BBAF-1E0542873AC7}" name="Volume 7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2FA4BE-023B-438F-B949-7EE4A29787F8}" name="Trivia" displayName="Trivia" ref="A1:B10" headerRowCount="0">
  <tableColumns count="2">
    <tableColumn id="6" xr3:uid="{1418F7DB-826D-4461-B268-28F4C61D94C1}" name="Key"/>
    <tableColumn id="22" xr3:uid="{C1D9FCA3-B45A-4A71-9AB1-868FD689D454}" name="Valu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CBD49D-CB72-4E7C-9984-E5F18B705DA6}" name="Details" displayName="Details" ref="A16:O18" totalsRowCount="1">
  <autoFilter ref="A16:O17" xr:uid="{F3CBD49D-CB72-4E7C-9984-E5F18B705DA6}"/>
  <tableColumns count="15">
    <tableColumn id="1" xr3:uid="{D7E5DBD9-E8EF-469B-BEDF-153523AAF4A3}" name="Stamp" dataDxfId="19"/>
    <tableColumn id="2" xr3:uid="{A1169244-DC3E-40D8-A647-316DD8DB603A}" name="Wallet" dataDxfId="18"/>
    <tableColumn id="3" xr3:uid="{129BEAE4-DDA3-445C-99F1-839AABBC5F7B}" name="Operation"/>
    <tableColumn id="5" xr3:uid="{A1DA3230-EAF3-4ED1-8A90-886DF5808A28}" name="Acquired" totalsRowFunction="sum"/>
    <tableColumn id="6" xr3:uid="{74EB8001-59C4-454C-8809-496168B10395}" name="Spent" totalsRowFunction="sum"/>
    <tableColumn id="4" xr3:uid="{C34EE243-8E66-4824-8F93-FF37909C12EC}" name="Ticker"/>
    <tableColumn id="7" xr3:uid="{478C7B65-A24D-4651-AB8A-6905D16BEDDA}" name="Price"/>
    <tableColumn id="8" xr3:uid="{308DF9C8-C4AB-4296-8173-0028ADEA09AD}" name="Amount"/>
    <tableColumn id="14" xr3:uid="{E8FE8BB1-D6E6-494C-8556-F47CE55E3795}" name="Charge"/>
    <tableColumn id="15" xr3:uid="{F594AC70-DEAB-4FA9-AEA3-AAD0FB8A7AC6}" name="BNB Fee" totalsRowFunction="sum"/>
    <tableColumn id="17" xr3:uid="{A29694B8-2556-4423-9847-1E506E4938F2}" name="Debit"/>
    <tableColumn id="18" xr3:uid="{2EF1E5A0-1B1E-49D6-B0F9-8CE18F4F3A96}" name="Credit"/>
    <tableColumn id="9" xr3:uid="{5F784E54-362E-4E48-84F6-F86FE1CD1259}" name="Commision"/>
    <tableColumn id="11" xr3:uid="{E2C71B5B-A78C-4CFE-BB76-C2A6A50D84CA}" name="Note"/>
    <tableColumn id="13" xr3:uid="{8C31E043-2BA7-426C-A10F-10D677050A0B}" name="ID" totalsRowFunction="count" dataDxfId="17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E1ABD7-DC7D-4DCC-AA40-8B8824A6BA64}" name="Summary" displayName="Summary" ref="D1:L10" totalsRowCount="1">
  <autoFilter ref="D1:L9" xr:uid="{C4E1ABD7-DC7D-4DCC-AA40-8B8824A6BA6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6D2EF4BB-1451-4236-B25F-6BCBD444E0C0}" name="Activity" totalsRowLabel="Total"/>
    <tableColumn id="2" xr3:uid="{39F2F9AA-68F5-47B9-BAE6-4A02A28891CD}" name="Acquired" totalsRowFunction="sum" dataDxfId="16">
      <calculatedColumnFormula>SUMIF(Details[Operation],Summary[[#This Row],[In Operation]],Details[Acquired])</calculatedColumnFormula>
    </tableColumn>
    <tableColumn id="3" xr3:uid="{7072493C-D629-4203-9F44-166058229523}" name="In Operation"/>
    <tableColumn id="4" xr3:uid="{4A8B8BEF-48C6-4867-BA8A-6AD4067DDBCD}" name="Spent" totalsRowFunction="sum" dataDxfId="15">
      <calculatedColumnFormula>SUMIF(Details[Operation],Summary[[#This Row],[Out Operation]],Details[Spent])</calculatedColumnFormula>
    </tableColumn>
    <tableColumn id="5" xr3:uid="{7D2E40B0-0588-4610-AB72-1D4B444D2898}" name="Out Operation"/>
    <tableColumn id="10" xr3:uid="{FED9212C-6789-44EB-8382-9F8876D367F9}" name="Charge" totalsRowFunction="sum" dataDxfId="14">
      <calculatedColumnFormula array="1">SUMIFS(Details[Charge],Details[Operation],Summary[[#This Row],[In Operation]])+SUMIFS(Details[Charge],Details[Operation],Summary[[#This Row],[Out Operation]],Details[Ticker],Markets[Ticker])</calculatedColumnFormula>
    </tableColumn>
    <tableColumn id="6" xr3:uid="{02524852-4FD6-4990-8FE8-E984BD6EFAEE}" name="Balance" totalsRowFunction="sum" dataDxfId="13">
      <calculatedColumnFormula>Summary[[#This Row],[Acquired]]-Summary[[#This Row],[Spent]]-Summary[[#This Row],[Charge]]</calculatedColumnFormula>
    </tableColumn>
    <tableColumn id="8" xr3:uid="{02308851-39E5-4054-B652-6466A92FD9F1}" name="BNB fees" totalsRowFunction="sum" dataDxfId="12">
      <calculatedColumnFormula>SUMIF(Details[Operation],Summary[[#This Row],[In Operation]],Details[BNB Fee])+SUMIF(Details[Operation],Summary[[#This Row],[Out Operation]],Details[BNB Fee])</calculatedColumnFormula>
    </tableColumn>
    <tableColumn id="9" xr3:uid="{18BEA1DB-E045-495C-8714-F5D4FF27537F}" name="Last Updated" dataDxfId="11"/>
  </tableColumns>
  <tableStyleInfo name="TableStyleLight5" showFirstColumn="0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EE0249-EDCD-40B9-8632-2BDAA71D80CF}" name="Markets" displayName="Markets" ref="A13:B14" totalsRowShown="0" dataDxfId="10">
  <autoFilter ref="A13:B14" xr:uid="{2CEE0249-EDCD-40B9-8632-2BDAA71D80CF}">
    <filterColumn colId="0" hiddenButton="1"/>
    <filterColumn colId="1" hiddenButton="1"/>
  </autoFilter>
  <tableColumns count="2">
    <tableColumn id="1" xr3:uid="{9A0BFBB9-50C0-4103-A22D-78CCD3CA2290}" name="Ticker" dataDxfId="9"/>
    <tableColumn id="7" xr3:uid="{07D19152-2558-4F61-878E-9B51E845BDD5}" name="Observed" dataDxfId="8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vmlDrawing" Target="../drawings/vmlDrawing1.v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75382-F2BE-418D-9FB2-40BF66DCB5C0}">
  <sheetPr codeName="Sheet2"/>
  <dimension ref="A1:V6"/>
  <sheetViews>
    <sheetView tabSelected="1" workbookViewId="0">
      <pane ySplit="4" topLeftCell="A5" activePane="bottomLeft" state="frozen"/>
      <selection pane="bottomLeft" activeCell="A38" sqref="A38"/>
    </sheetView>
  </sheetViews>
  <sheetFormatPr defaultRowHeight="12.75" x14ac:dyDescent="0.2"/>
  <cols>
    <col min="1" max="1" width="11" bestFit="1" customWidth="1"/>
    <col min="2" max="2" width="17.42578125" customWidth="1"/>
    <col min="3" max="3" width="17.42578125" bestFit="1" customWidth="1"/>
    <col min="4" max="4" width="16.85546875" customWidth="1"/>
    <col min="5" max="5" width="17.28515625" customWidth="1"/>
    <col min="6" max="6" width="19.42578125" customWidth="1"/>
    <col min="7" max="7" width="19.5703125" customWidth="1"/>
    <col min="8" max="8" width="15.85546875" customWidth="1"/>
    <col min="9" max="9" width="15.140625" customWidth="1"/>
    <col min="10" max="20" width="19.140625" customWidth="1"/>
    <col min="21" max="21" width="18.140625" bestFit="1" customWidth="1"/>
    <col min="22" max="22" width="18" customWidth="1"/>
    <col min="23" max="23" width="19.7109375" customWidth="1"/>
  </cols>
  <sheetData>
    <row r="1" spans="1:22" x14ac:dyDescent="0.2">
      <c r="A1" t="s">
        <v>46</v>
      </c>
      <c r="B1" t="s">
        <v>51</v>
      </c>
      <c r="C1" t="s">
        <v>56</v>
      </c>
      <c r="D1" t="s">
        <v>47</v>
      </c>
      <c r="E1" t="s">
        <v>48</v>
      </c>
      <c r="F1" t="s">
        <v>49</v>
      </c>
      <c r="G1" t="s">
        <v>50</v>
      </c>
      <c r="I1" t="s">
        <v>57</v>
      </c>
      <c r="J1" t="s">
        <v>4</v>
      </c>
      <c r="K1" t="s">
        <v>144</v>
      </c>
      <c r="L1" t="s">
        <v>145</v>
      </c>
      <c r="M1" t="s">
        <v>136</v>
      </c>
      <c r="N1" t="s">
        <v>137</v>
      </c>
      <c r="O1" t="s">
        <v>138</v>
      </c>
      <c r="P1" t="s">
        <v>139</v>
      </c>
      <c r="Q1" t="s">
        <v>140</v>
      </c>
      <c r="R1" t="s">
        <v>141</v>
      </c>
      <c r="S1" t="s">
        <v>142</v>
      </c>
      <c r="T1" t="s">
        <v>143</v>
      </c>
      <c r="U1" t="s">
        <v>146</v>
      </c>
      <c r="V1" t="s">
        <v>147</v>
      </c>
    </row>
    <row r="2" spans="1:22" x14ac:dyDescent="0.2">
      <c r="C2" s="11">
        <v>45809</v>
      </c>
      <c r="D2" s="9"/>
      <c r="E2" s="9"/>
      <c r="F2" s="9"/>
      <c r="G2" s="9"/>
      <c r="I2" t="s">
        <v>54</v>
      </c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</row>
    <row r="4" spans="1:22" x14ac:dyDescent="0.2">
      <c r="A4" t="s">
        <v>7</v>
      </c>
      <c r="B4" t="s">
        <v>34</v>
      </c>
      <c r="C4" t="s">
        <v>115</v>
      </c>
      <c r="D4" t="s">
        <v>116</v>
      </c>
      <c r="E4" t="s">
        <v>109</v>
      </c>
      <c r="F4" t="s">
        <v>112</v>
      </c>
      <c r="G4" t="s">
        <v>110</v>
      </c>
      <c r="H4" t="s">
        <v>113</v>
      </c>
      <c r="I4" t="s">
        <v>111</v>
      </c>
      <c r="J4" t="s">
        <v>114</v>
      </c>
      <c r="K4" t="s">
        <v>123</v>
      </c>
      <c r="L4" t="s">
        <v>124</v>
      </c>
      <c r="M4" t="s">
        <v>125</v>
      </c>
      <c r="N4" t="s">
        <v>126</v>
      </c>
      <c r="O4" t="s">
        <v>117</v>
      </c>
    </row>
    <row r="5" spans="1:22" x14ac:dyDescent="0.2">
      <c r="C5" s="13"/>
      <c r="D5" s="13"/>
      <c r="E5" s="13"/>
      <c r="F5" s="13"/>
      <c r="H5" s="13"/>
      <c r="J5" s="13"/>
      <c r="M5" s="13"/>
    </row>
    <row r="6" spans="1:22" x14ac:dyDescent="0.2">
      <c r="A6">
        <f>SUBTOTAL(103,Wallet[Ticker])</f>
        <v>0</v>
      </c>
      <c r="C6" s="13"/>
      <c r="D6" s="13">
        <f>SUBTOTAL(109,Wallet[Total Cost])</f>
        <v>0</v>
      </c>
      <c r="E6" s="13"/>
      <c r="F6" s="13">
        <f>SUBTOTAL(109,Wallet[Spot Cost])</f>
        <v>0</v>
      </c>
      <c r="H6" s="13">
        <f>SUBTOTAL(109,Wallet[Funding Cost])</f>
        <v>0</v>
      </c>
      <c r="J6" s="13">
        <f>SUBTOTAL(109,Wallet[Earn Cost])</f>
        <v>0</v>
      </c>
      <c r="M6" s="13"/>
    </row>
  </sheetData>
  <dataConsolidate/>
  <phoneticPr fontId="1" type="noConversion"/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9A9F1-0B4B-4E57-9456-1A2083474B25}">
  <sheetPr codeName="Sheet3"/>
  <dimension ref="A1:K10"/>
  <sheetViews>
    <sheetView workbookViewId="0">
      <pane ySplit="4" topLeftCell="A5" activePane="bottomLeft" state="frozen"/>
      <selection pane="bottomLeft" activeCell="B37" sqref="B37"/>
    </sheetView>
  </sheetViews>
  <sheetFormatPr defaultRowHeight="12.75" x14ac:dyDescent="0.2"/>
  <cols>
    <col min="1" max="1" width="13.85546875" customWidth="1"/>
    <col min="2" max="2" width="31.140625" bestFit="1" customWidth="1"/>
    <col min="3" max="3" width="8.85546875" customWidth="1"/>
    <col min="4" max="4" width="8.5703125" bestFit="1" customWidth="1"/>
    <col min="5" max="5" width="9.5703125" bestFit="1" customWidth="1"/>
    <col min="6" max="6" width="12.5703125" customWidth="1"/>
    <col min="7" max="7" width="21.42578125" customWidth="1"/>
    <col min="8" max="8" width="19.7109375" bestFit="1" customWidth="1"/>
    <col min="9" max="9" width="20" bestFit="1" customWidth="1"/>
    <col min="10" max="10" width="11" bestFit="1" customWidth="1"/>
    <col min="11" max="15" width="9.85546875" customWidth="1"/>
  </cols>
  <sheetData>
    <row r="1" spans="1:11" x14ac:dyDescent="0.2">
      <c r="B1" t="s">
        <v>128</v>
      </c>
      <c r="G1" t="s">
        <v>39</v>
      </c>
    </row>
    <row r="2" spans="1:11" x14ac:dyDescent="0.2">
      <c r="G2">
        <v>-123.45699999999999</v>
      </c>
    </row>
    <row r="4" spans="1:11" x14ac:dyDescent="0.2">
      <c r="A4" t="s">
        <v>7</v>
      </c>
      <c r="B4" t="s">
        <v>6</v>
      </c>
      <c r="C4" t="s">
        <v>0</v>
      </c>
      <c r="D4" t="s">
        <v>43</v>
      </c>
      <c r="E4" t="s">
        <v>36</v>
      </c>
      <c r="F4" t="s">
        <v>122</v>
      </c>
      <c r="G4" t="s">
        <v>37</v>
      </c>
      <c r="H4" t="s">
        <v>52</v>
      </c>
      <c r="I4" t="s">
        <v>53</v>
      </c>
      <c r="J4" t="s">
        <v>135</v>
      </c>
    </row>
    <row r="5" spans="1:11" x14ac:dyDescent="0.2">
      <c r="A5" t="s">
        <v>1</v>
      </c>
      <c r="B5" t="s">
        <v>131</v>
      </c>
      <c r="C5" t="s">
        <v>3</v>
      </c>
      <c r="D5">
        <v>0</v>
      </c>
      <c r="E5">
        <v>0</v>
      </c>
      <c r="F5">
        <v>8</v>
      </c>
      <c r="G5" s="3">
        <f>Format[Test Value]</f>
        <v>-123.45699999999999</v>
      </c>
      <c r="H5" s="5" t="b">
        <v>1</v>
      </c>
      <c r="I5" s="5" t="b">
        <v>1</v>
      </c>
      <c r="J5" s="5">
        <f>0</f>
        <v>0</v>
      </c>
      <c r="K5" s="3"/>
    </row>
    <row r="6" spans="1:11" x14ac:dyDescent="0.2">
      <c r="A6" t="s">
        <v>42</v>
      </c>
      <c r="B6" t="s">
        <v>45</v>
      </c>
      <c r="C6" t="s">
        <v>3</v>
      </c>
      <c r="D6">
        <v>0</v>
      </c>
      <c r="E6">
        <v>0</v>
      </c>
      <c r="F6">
        <v>8</v>
      </c>
      <c r="G6" s="7">
        <f>Format[Test Value]</f>
        <v>-123.45699999999999</v>
      </c>
      <c r="H6" s="5" t="b">
        <v>1</v>
      </c>
      <c r="I6" s="5" t="b">
        <v>0</v>
      </c>
      <c r="J6" s="5">
        <f>0</f>
        <v>0</v>
      </c>
      <c r="K6" s="7"/>
    </row>
    <row r="7" spans="1:11" x14ac:dyDescent="0.2">
      <c r="A7" t="s">
        <v>38</v>
      </c>
      <c r="B7" t="s">
        <v>132</v>
      </c>
      <c r="C7" t="s">
        <v>130</v>
      </c>
      <c r="D7">
        <v>0</v>
      </c>
      <c r="E7">
        <v>0</v>
      </c>
      <c r="F7">
        <v>2</v>
      </c>
      <c r="G7" s="1">
        <f>Format[Test Value]</f>
        <v>-123.45699999999999</v>
      </c>
      <c r="H7" s="5" t="b">
        <v>1</v>
      </c>
      <c r="I7" s="5" t="b">
        <v>1</v>
      </c>
      <c r="J7" s="5">
        <f>0</f>
        <v>0</v>
      </c>
      <c r="K7" s="1"/>
    </row>
    <row r="8" spans="1:11" x14ac:dyDescent="0.2">
      <c r="A8" t="s">
        <v>40</v>
      </c>
      <c r="B8" t="s">
        <v>133</v>
      </c>
      <c r="C8" t="s">
        <v>130</v>
      </c>
      <c r="D8">
        <v>0</v>
      </c>
      <c r="E8">
        <v>0</v>
      </c>
      <c r="F8">
        <v>2</v>
      </c>
      <c r="G8" s="2">
        <f>Format[Test Value]</f>
        <v>-123.45699999999999</v>
      </c>
      <c r="H8" s="5" t="b">
        <v>1</v>
      </c>
      <c r="I8" s="5" t="b">
        <v>0</v>
      </c>
      <c r="J8" s="5">
        <f>0</f>
        <v>0</v>
      </c>
      <c r="K8" s="2"/>
    </row>
    <row r="9" spans="1:11" x14ac:dyDescent="0.2">
      <c r="A9" t="s">
        <v>2</v>
      </c>
      <c r="B9" t="s">
        <v>2</v>
      </c>
      <c r="C9" t="s">
        <v>3</v>
      </c>
      <c r="D9">
        <v>0</v>
      </c>
      <c r="E9">
        <v>0</v>
      </c>
      <c r="F9">
        <v>8</v>
      </c>
      <c r="G9" s="4">
        <f>Format[Test Value]</f>
        <v>-123.45699999999999</v>
      </c>
      <c r="H9" s="5" t="b">
        <v>1</v>
      </c>
      <c r="I9" s="5" t="b">
        <v>1</v>
      </c>
      <c r="J9" s="5">
        <f>0</f>
        <v>0</v>
      </c>
      <c r="K9" s="6"/>
    </row>
    <row r="10" spans="1:11" x14ac:dyDescent="0.2">
      <c r="A10" t="s">
        <v>44</v>
      </c>
      <c r="B10" t="s">
        <v>134</v>
      </c>
      <c r="C10" t="s">
        <v>3</v>
      </c>
      <c r="D10">
        <v>0</v>
      </c>
      <c r="E10">
        <v>0</v>
      </c>
      <c r="F10">
        <v>8</v>
      </c>
      <c r="G10" s="6">
        <f>Format[Test Value]</f>
        <v>-123.45699999999999</v>
      </c>
      <c r="H10" s="5" t="b">
        <v>1</v>
      </c>
      <c r="I10" s="5" t="b">
        <v>0</v>
      </c>
      <c r="J10" s="5">
        <f>0</f>
        <v>0</v>
      </c>
      <c r="K10" s="4"/>
    </row>
  </sheetData>
  <phoneticPr fontId="1" type="noConversion"/>
  <dataValidations disablePrompts="1" count="1">
    <dataValidation type="list" allowBlank="1" showInputMessage="1" showErrorMessage="1" sqref="F19" xr:uid="{BFBB713B-647D-4D0F-8469-199AEAF9FADA}">
      <formula1>Test1</formula1>
    </dataValidation>
  </dataValidation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F91BE-E05D-4768-854F-3AF9F0CA9545}">
  <sheetPr codeName="Sheet4"/>
  <dimension ref="A1:AT2"/>
  <sheetViews>
    <sheetView workbookViewId="0">
      <pane ySplit="1" topLeftCell="A2" activePane="bottomLeft" state="frozen"/>
      <selection pane="bottomLeft" activeCell="N22" sqref="N22"/>
    </sheetView>
  </sheetViews>
  <sheetFormatPr defaultRowHeight="12.75" x14ac:dyDescent="0.2"/>
  <cols>
    <col min="1" max="1" width="18.5703125" customWidth="1"/>
    <col min="2" max="2" width="10.28515625" bestFit="1" customWidth="1"/>
    <col min="3" max="3" width="23.7109375" bestFit="1" customWidth="1"/>
    <col min="4" max="4" width="13.28515625" bestFit="1" customWidth="1"/>
    <col min="5" max="5" width="15.7109375" bestFit="1" customWidth="1"/>
    <col min="6" max="6" width="16" customWidth="1"/>
    <col min="7" max="7" width="17.28515625" bestFit="1" customWidth="1"/>
    <col min="8" max="8" width="13.85546875" bestFit="1" customWidth="1"/>
    <col min="9" max="9" width="13.85546875" customWidth="1"/>
    <col min="10" max="10" width="13.140625" customWidth="1"/>
    <col min="11" max="11" width="15.140625" customWidth="1"/>
    <col min="12" max="12" width="11.42578125" customWidth="1"/>
    <col min="13" max="13" width="15.28515625" customWidth="1"/>
    <col min="14" max="14" width="10.85546875" customWidth="1"/>
    <col min="15" max="15" width="19.42578125" customWidth="1"/>
    <col min="16" max="16" width="10.28515625" bestFit="1" customWidth="1"/>
    <col min="17" max="17" width="17.42578125" customWidth="1"/>
    <col min="18" max="18" width="9.7109375" customWidth="1"/>
    <col min="19" max="50" width="13.28515625" customWidth="1"/>
  </cols>
  <sheetData>
    <row r="1" spans="1:46" x14ac:dyDescent="0.2">
      <c r="A1" t="s">
        <v>55</v>
      </c>
      <c r="B1" t="s">
        <v>72</v>
      </c>
      <c r="C1" t="s">
        <v>68</v>
      </c>
      <c r="D1" t="s">
        <v>77</v>
      </c>
      <c r="E1" t="s">
        <v>74</v>
      </c>
      <c r="F1" t="s">
        <v>69</v>
      </c>
      <c r="G1" t="s">
        <v>70</v>
      </c>
      <c r="H1" t="s">
        <v>71</v>
      </c>
      <c r="I1" t="s">
        <v>73</v>
      </c>
      <c r="J1" t="s">
        <v>78</v>
      </c>
      <c r="K1" t="s">
        <v>76</v>
      </c>
      <c r="L1" t="s">
        <v>75</v>
      </c>
      <c r="M1" t="s">
        <v>62</v>
      </c>
      <c r="O1" t="s">
        <v>55</v>
      </c>
      <c r="P1" t="s">
        <v>72</v>
      </c>
      <c r="Q1" t="s">
        <v>83</v>
      </c>
      <c r="R1" t="s">
        <v>7</v>
      </c>
      <c r="S1" t="s">
        <v>79</v>
      </c>
      <c r="T1" t="s">
        <v>80</v>
      </c>
      <c r="U1" t="s">
        <v>81</v>
      </c>
      <c r="V1" t="s">
        <v>82</v>
      </c>
      <c r="W1" t="s">
        <v>86</v>
      </c>
      <c r="X1" t="s">
        <v>88</v>
      </c>
      <c r="Y1" t="s">
        <v>90</v>
      </c>
      <c r="Z1" t="s">
        <v>85</v>
      </c>
      <c r="AA1" t="s">
        <v>87</v>
      </c>
      <c r="AB1" t="s">
        <v>89</v>
      </c>
      <c r="AC1" t="s">
        <v>91</v>
      </c>
      <c r="AD1" t="s">
        <v>92</v>
      </c>
      <c r="AE1" t="s">
        <v>93</v>
      </c>
      <c r="AF1" t="s">
        <v>94</v>
      </c>
      <c r="AG1" t="s">
        <v>95</v>
      </c>
      <c r="AH1" t="s">
        <v>96</v>
      </c>
      <c r="AI1" t="s">
        <v>97</v>
      </c>
      <c r="AJ1" t="s">
        <v>98</v>
      </c>
      <c r="AK1" t="s">
        <v>99</v>
      </c>
      <c r="AL1" t="s">
        <v>100</v>
      </c>
      <c r="AM1" t="s">
        <v>101</v>
      </c>
      <c r="AN1" t="s">
        <v>102</v>
      </c>
      <c r="AO1" t="s">
        <v>103</v>
      </c>
      <c r="AP1" t="s">
        <v>104</v>
      </c>
      <c r="AQ1" t="s">
        <v>105</v>
      </c>
      <c r="AR1" t="s">
        <v>106</v>
      </c>
      <c r="AS1" t="s">
        <v>107</v>
      </c>
      <c r="AT1" t="s">
        <v>108</v>
      </c>
    </row>
    <row r="2" spans="1:46" x14ac:dyDescent="0.2">
      <c r="A2" s="10"/>
      <c r="B2" s="5"/>
      <c r="E2" s="12"/>
      <c r="F2" s="12"/>
      <c r="G2" s="12"/>
      <c r="H2" s="12"/>
      <c r="I2" s="5"/>
      <c r="O2" s="10"/>
      <c r="P2" s="5"/>
    </row>
  </sheetData>
  <phoneticPr fontId="1" type="noConversion"/>
  <dataValidations count="1">
    <dataValidation type="list" allowBlank="1" showInputMessage="1" showErrorMessage="1" sqref="R2" xr:uid="{8FDC71A3-3930-4463-8BF7-600BC77066F2}">
      <formula1>"BNB,BTC,ETH,USDT,USDC"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6"/>
  <sheetViews>
    <sheetView zoomScaleNormal="100" workbookViewId="0">
      <pane ySplit="16" topLeftCell="A17" activePane="bottomLeft" state="frozen"/>
      <selection pane="bottomLeft" activeCell="D40" sqref="D40"/>
    </sheetView>
  </sheetViews>
  <sheetFormatPr defaultColWidth="11.5703125" defaultRowHeight="12.75" customHeight="1" x14ac:dyDescent="0.2"/>
  <cols>
    <col min="1" max="1" width="18.85546875" bestFit="1" customWidth="1"/>
    <col min="2" max="2" width="17.5703125" customWidth="1"/>
    <col min="3" max="3" width="14" customWidth="1"/>
    <col min="4" max="10" width="16" customWidth="1"/>
    <col min="11" max="11" width="14" customWidth="1"/>
    <col min="12" max="12" width="16.42578125" bestFit="1" customWidth="1"/>
    <col min="13" max="13" width="14.140625" customWidth="1"/>
    <col min="14" max="14" width="34.7109375" customWidth="1"/>
    <col min="15" max="15" width="25.140625" customWidth="1"/>
    <col min="16" max="16" width="16.42578125" bestFit="1" customWidth="1"/>
    <col min="18" max="18" width="15.42578125" customWidth="1"/>
  </cols>
  <sheetData>
    <row r="1" spans="1:15" x14ac:dyDescent="0.2">
      <c r="A1" t="s">
        <v>7</v>
      </c>
      <c r="D1" t="s">
        <v>23</v>
      </c>
      <c r="E1" t="s">
        <v>24</v>
      </c>
      <c r="F1" t="s">
        <v>26</v>
      </c>
      <c r="G1" t="s">
        <v>25</v>
      </c>
      <c r="H1" t="s">
        <v>119</v>
      </c>
      <c r="I1" t="s">
        <v>29</v>
      </c>
      <c r="J1" t="s">
        <v>27</v>
      </c>
      <c r="K1" t="s">
        <v>10</v>
      </c>
      <c r="L1" t="s">
        <v>121</v>
      </c>
    </row>
    <row r="2" spans="1:15" ht="12.75" customHeight="1" x14ac:dyDescent="0.2">
      <c r="A2" t="s">
        <v>6</v>
      </c>
      <c r="D2" t="s">
        <v>8</v>
      </c>
      <c r="E2">
        <f>SUMIF(Details[Operation],Summary[[#This Row],[In Operation]],Details[Acquired])</f>
        <v>0</v>
      </c>
      <c r="F2" t="s">
        <v>21</v>
      </c>
      <c r="G2">
        <f>SUMIF(Details[Operation],Summary[[#This Row],[Out Operation]],Details[Spent])</f>
        <v>0</v>
      </c>
      <c r="H2" t="s">
        <v>22</v>
      </c>
      <c r="I2" cm="1">
        <f t="array" ref="I2">SUMIFS(Details[Charge],Details[Operation],Summary[[#This Row],[In Operation]])+SUMIFS(Details[Charge],Details[Operation],Summary[[#This Row],[Out Operation]],Details[Ticker],Markets[Ticker])</f>
        <v>0</v>
      </c>
      <c r="J2">
        <f>Summary[[#This Row],[Acquired]]-Summary[[#This Row],[Spent]]-Summary[[#This Row],[Charge]]</f>
        <v>0</v>
      </c>
      <c r="K2">
        <f>SUMIF(Details[Operation],Summary[[#This Row],[In Operation]],Details[BNB Fee])+SUMIF(Details[Operation],Summary[[#This Row],[Out Operation]],Details[BNB Fee])</f>
        <v>0</v>
      </c>
      <c r="L2" s="10"/>
    </row>
    <row r="3" spans="1:15" ht="12.75" customHeight="1" x14ac:dyDescent="0.2">
      <c r="A3" t="s">
        <v>0</v>
      </c>
      <c r="D3" t="s">
        <v>9</v>
      </c>
      <c r="E3">
        <f>SUMIF(Details[Operation],Summary[[#This Row],[In Operation]],Details[Acquired])</f>
        <v>0</v>
      </c>
      <c r="F3" t="s">
        <v>11</v>
      </c>
      <c r="G3">
        <f>SUMIF(Details[Operation],Summary[[#This Row],[Out Operation]],Details[Spent])</f>
        <v>0</v>
      </c>
      <c r="H3" t="s">
        <v>31</v>
      </c>
      <c r="I3" cm="1">
        <f t="array" ref="I3">SUMIFS(Details[Charge],Details[Operation],Summary[[#This Row],[In Operation]])+SUMIFS(Details[Charge],Details[Operation],Summary[[#This Row],[Out Operation]],Details[Ticker],Markets[Ticker])</f>
        <v>0</v>
      </c>
      <c r="J3">
        <f>Summary[[#This Row],[Acquired]]-Summary[[#This Row],[Spent]]-Summary[[#This Row],[Charge]]</f>
        <v>0</v>
      </c>
      <c r="K3">
        <f>SUMIF(Details[Operation],Summary[[#This Row],[In Operation]],Details[BNB Fee])+SUMIF(Details[Operation],Summary[[#This Row],[Out Operation]],Details[BNB Fee])</f>
        <v>0</v>
      </c>
      <c r="L3" s="10"/>
    </row>
    <row r="4" spans="1:15" ht="12.75" customHeight="1" x14ac:dyDescent="0.2">
      <c r="A4" t="s">
        <v>28</v>
      </c>
      <c r="B4" t="e" cm="1">
        <f t="array" ref="B4">Summary[[#Totals],[Balance]]+INDEX(Wallet[Dynamic Amount], MATCH(Markets[Ticker],Wallet[Ticker],0))</f>
        <v>#N/A</v>
      </c>
      <c r="D4" t="s">
        <v>59</v>
      </c>
      <c r="E4">
        <f>SUMIF(Details[Operation],Summary[[#This Row],[In Operation]],Details[Acquired])</f>
        <v>0</v>
      </c>
      <c r="F4" t="s">
        <v>60</v>
      </c>
      <c r="G4">
        <f>SUMIF(Details[Operation],Summary[[#This Row],[Out Operation]],Details[Spent])</f>
        <v>0</v>
      </c>
      <c r="H4" t="s">
        <v>61</v>
      </c>
      <c r="I4" cm="1">
        <f t="array" ref="I4">SUMIFS(Details[Charge],Details[Operation],Summary[[#This Row],[In Operation]])+SUMIFS(Details[Charge],Details[Operation],Summary[[#This Row],[Out Operation]],Details[Ticker],Markets[Ticker])</f>
        <v>0</v>
      </c>
      <c r="J4">
        <f>Summary[[#This Row],[Acquired]]-Summary[[#This Row],[Spent]]-Summary[[#This Row],[Charge]]</f>
        <v>0</v>
      </c>
      <c r="K4">
        <f>SUMIF(Details[Operation],Summary[[#This Row],[In Operation]],Details[BNB Fee])+SUMIF(Details[Operation],Summary[[#This Row],[Out Operation]],Details[BNB Fee])</f>
        <v>0</v>
      </c>
      <c r="L4" s="10"/>
    </row>
    <row r="5" spans="1:15" ht="12.75" customHeight="1" x14ac:dyDescent="0.2">
      <c r="A5" t="s">
        <v>34</v>
      </c>
      <c r="D5" t="s">
        <v>13</v>
      </c>
      <c r="E5">
        <f>SUMIF(Details[Operation],Summary[[#This Row],[In Operation]],Details[Acquired])</f>
        <v>0</v>
      </c>
      <c r="F5" t="s">
        <v>14</v>
      </c>
      <c r="G5">
        <f>SUMIF(Details[Operation],Summary[[#This Row],[Out Operation]],Details[Spent])</f>
        <v>0</v>
      </c>
      <c r="H5" t="s">
        <v>15</v>
      </c>
      <c r="I5" cm="1">
        <f t="array" ref="I5">SUMIFS(Details[Charge],Details[Operation],Summary[[#This Row],[In Operation]])+SUMIFS(Details[Charge],Details[Operation],Summary[[#This Row],[Out Operation]],Details[Ticker],Markets[Ticker])</f>
        <v>0</v>
      </c>
      <c r="J5">
        <f>Summary[[#This Row],[Acquired]]-Summary[[#This Row],[Spent]]-Summary[[#This Row],[Charge]]</f>
        <v>0</v>
      </c>
      <c r="K5">
        <f>SUMIF(Details[Operation],Summary[[#This Row],[In Operation]],Details[BNB Fee])+SUMIF(Details[Operation],Summary[[#This Row],[Out Operation]],Details[BNB Fee])</f>
        <v>0</v>
      </c>
      <c r="L5" s="10"/>
    </row>
    <row r="6" spans="1:15" ht="12.75" customHeight="1" x14ac:dyDescent="0.2">
      <c r="A6" t="s">
        <v>120</v>
      </c>
      <c r="D6" t="s">
        <v>12</v>
      </c>
      <c r="E6">
        <f>SUMIF(Details[Operation],Summary[[#This Row],[In Operation]],Details[Acquired])</f>
        <v>0</v>
      </c>
      <c r="F6" t="s">
        <v>16</v>
      </c>
      <c r="G6">
        <f>SUMIF(Details[Operation],Summary[[#This Row],[Out Operation]],Details[Spent])</f>
        <v>0</v>
      </c>
      <c r="H6" t="s">
        <v>17</v>
      </c>
      <c r="I6" cm="1">
        <f t="array" ref="I6">SUMIFS(Details[Charge],Details[Operation],Summary[[#This Row],[In Operation]])+SUMIFS(Details[Charge],Details[Operation],Summary[[#This Row],[Out Operation]],Details[Ticker],Markets[Ticker])</f>
        <v>0</v>
      </c>
      <c r="J6">
        <f>Summary[[#This Row],[Acquired]]-Summary[[#This Row],[Spent]]-Summary[[#This Row],[Charge]]</f>
        <v>0</v>
      </c>
      <c r="K6">
        <f>SUMIF(Details[Operation],Summary[[#This Row],[In Operation]],Details[BNB Fee])+SUMIF(Details[Operation],Summary[[#This Row],[Out Operation]],Details[BNB Fee])</f>
        <v>0</v>
      </c>
      <c r="L6" s="10"/>
    </row>
    <row r="7" spans="1:15" ht="12.75" customHeight="1" x14ac:dyDescent="0.2">
      <c r="A7" t="s">
        <v>27</v>
      </c>
      <c r="B7">
        <f>Summary[[#Totals],[Balance]]</f>
        <v>0</v>
      </c>
      <c r="D7" t="s">
        <v>20</v>
      </c>
      <c r="E7">
        <f>SUMIF(Details[Operation],Summary[[#This Row],[In Operation]],Details[Acquired])</f>
        <v>0</v>
      </c>
      <c r="F7" t="s">
        <v>18</v>
      </c>
      <c r="G7">
        <f>SUMIF(Details[Operation],Summary[[#This Row],[Out Operation]],Details[Spent])</f>
        <v>0</v>
      </c>
      <c r="H7" t="s">
        <v>19</v>
      </c>
      <c r="I7" cm="1">
        <f t="array" ref="I7">SUMIFS(Details[Charge],Details[Operation],Summary[[#This Row],[In Operation]])+SUMIFS(Details[Charge],Details[Operation],Summary[[#This Row],[Out Operation]],Details[Ticker],Markets[Ticker])</f>
        <v>0</v>
      </c>
      <c r="J7">
        <f>Summary[[#This Row],[Acquired]]-Summary[[#This Row],[Spent]]-Summary[[#This Row],[Charge]]</f>
        <v>0</v>
      </c>
      <c r="K7">
        <f>SUMIF(Details[Operation],Summary[[#This Row],[In Operation]],Details[BNB Fee])+SUMIF(Details[Operation],Summary[[#This Row],[Out Operation]],Details[BNB Fee])</f>
        <v>0</v>
      </c>
      <c r="L7" s="10"/>
    </row>
    <row r="8" spans="1:15" ht="12.75" customHeight="1" x14ac:dyDescent="0.2">
      <c r="A8" t="s">
        <v>127</v>
      </c>
      <c r="B8" t="e" cm="1">
        <f t="array" ref="B8">INDEX(Wallet[Dynamic Amount], MATCH(Markets[Ticker],Wallet[Ticker],0))</f>
        <v>#N/A</v>
      </c>
      <c r="D8" t="s">
        <v>35</v>
      </c>
      <c r="E8">
        <f>SUMIF(Details[Operation],Summary[[#This Row],[In Operation]],Details[Acquired])</f>
        <v>0</v>
      </c>
      <c r="F8" t="s">
        <v>63</v>
      </c>
      <c r="G8">
        <f>SUMIF(Details[Operation],Summary[[#This Row],[Out Operation]],Details[Spent])</f>
        <v>0</v>
      </c>
      <c r="H8" t="s">
        <v>64</v>
      </c>
      <c r="I8" cm="1">
        <f t="array" ref="I8">SUMIFS(Details[Charge],Details[Operation],Summary[[#This Row],[In Operation]])+SUMIFS(Details[Charge],Details[Operation],Summary[[#This Row],[Out Operation]],Details[Ticker],Markets[Ticker])</f>
        <v>0</v>
      </c>
      <c r="J8">
        <f>Summary[[#This Row],[Acquired]]-Summary[[#This Row],[Spent]]-Summary[[#This Row],[Charge]]</f>
        <v>0</v>
      </c>
      <c r="K8">
        <f>SUMIF(Details[Operation],Summary[[#This Row],[In Operation]],Details[BNB Fee])+SUMIF(Details[Operation],Summary[[#This Row],[Out Operation]],Details[BNB Fee])</f>
        <v>0</v>
      </c>
      <c r="L8" s="10"/>
    </row>
    <row r="9" spans="1:15" ht="12.75" customHeight="1" x14ac:dyDescent="0.2">
      <c r="A9" t="s">
        <v>118</v>
      </c>
      <c r="B9" t="e" cm="1">
        <f t="array" ref="B9">Summary[[#Totals],[Balance]]-INDEX(Wallet[Static Amount], MATCH(Markets[Ticker],Wallet[Ticker],0))</f>
        <v>#N/A</v>
      </c>
      <c r="D9" t="s">
        <v>65</v>
      </c>
      <c r="E9">
        <f>SUMIF(Details[Operation],Summary[[#This Row],[In Operation]],Details[Acquired])</f>
        <v>0</v>
      </c>
      <c r="F9" t="s">
        <v>67</v>
      </c>
      <c r="G9">
        <f>SUMIF(Details[Operation],Summary[[#This Row],[Out Operation]],Details[Spent])</f>
        <v>0</v>
      </c>
      <c r="H9" t="s">
        <v>66</v>
      </c>
      <c r="I9" cm="1">
        <f t="array" ref="I9">SUMIFS(Details[Charge],Details[Operation],Summary[[#This Row],[In Operation]])+SUMIFS(Details[Charge],Details[Operation],Summary[[#This Row],[Out Operation]],Details[Ticker],Markets[Ticker])</f>
        <v>0</v>
      </c>
      <c r="J9">
        <f>Summary[[#This Row],[Acquired]]-Summary[[#This Row],[Spent]]-Summary[[#This Row],[Charge]]</f>
        <v>0</v>
      </c>
      <c r="K9">
        <f>SUMIF(Details[Operation],Summary[[#This Row],[In Operation]],Details[BNB Fee])+SUMIF(Details[Operation],Summary[[#This Row],[Out Operation]],Details[BNB Fee])</f>
        <v>0</v>
      </c>
      <c r="L9" s="10"/>
    </row>
    <row r="10" spans="1:15" ht="12.75" customHeight="1" x14ac:dyDescent="0.2">
      <c r="A10" t="s">
        <v>56</v>
      </c>
      <c r="B10" s="11" cm="1">
        <f t="array" ref="B10">UserInfo[Activity Start Date]</f>
        <v>45809</v>
      </c>
      <c r="D10" t="s">
        <v>28</v>
      </c>
      <c r="E10">
        <f>SUBTOTAL(109,Summary[Acquired])</f>
        <v>0</v>
      </c>
      <c r="G10">
        <f>SUBTOTAL(109,Summary[Spent])</f>
        <v>0</v>
      </c>
      <c r="I10">
        <f>SUBTOTAL(109,Summary[Charge])</f>
        <v>0</v>
      </c>
      <c r="J10">
        <f>SUBTOTAL(109,Summary[Balance])</f>
        <v>0</v>
      </c>
      <c r="K10">
        <f>SUBTOTAL(109,Summary[BNB fees])</f>
        <v>0</v>
      </c>
    </row>
    <row r="13" spans="1:15" ht="12.75" customHeight="1" x14ac:dyDescent="0.2">
      <c r="A13" t="s">
        <v>7</v>
      </c>
      <c r="B13" t="s">
        <v>129</v>
      </c>
    </row>
    <row r="14" spans="1:15" ht="12.75" customHeight="1" x14ac:dyDescent="0.2">
      <c r="A14" s="5" t="b">
        <v>0</v>
      </c>
      <c r="B14" s="5" t="b">
        <v>0</v>
      </c>
    </row>
    <row r="16" spans="1:15" ht="12.75" customHeight="1" x14ac:dyDescent="0.2">
      <c r="A16" t="s">
        <v>55</v>
      </c>
      <c r="B16" t="s">
        <v>4</v>
      </c>
      <c r="C16" t="s">
        <v>5</v>
      </c>
      <c r="D16" t="s">
        <v>24</v>
      </c>
      <c r="E16" t="s">
        <v>25</v>
      </c>
      <c r="F16" t="s">
        <v>7</v>
      </c>
      <c r="G16" t="s">
        <v>34</v>
      </c>
      <c r="H16" t="s">
        <v>41</v>
      </c>
      <c r="I16" t="s">
        <v>29</v>
      </c>
      <c r="J16" t="s">
        <v>30</v>
      </c>
      <c r="K16" t="s">
        <v>32</v>
      </c>
      <c r="L16" t="s">
        <v>33</v>
      </c>
      <c r="M16" t="s">
        <v>84</v>
      </c>
      <c r="N16" t="s">
        <v>62</v>
      </c>
      <c r="O16" t="s">
        <v>58</v>
      </c>
    </row>
    <row r="17" spans="1:15" ht="12.75" customHeight="1" x14ac:dyDescent="0.2">
      <c r="A17" s="10"/>
      <c r="B17" s="10"/>
    </row>
    <row r="18" spans="1:15" ht="12.75" customHeight="1" x14ac:dyDescent="0.2">
      <c r="D18">
        <f>SUBTOTAL(109,Details[Acquired])</f>
        <v>0</v>
      </c>
      <c r="E18">
        <f>SUBTOTAL(109,Details[Spent])</f>
        <v>0</v>
      </c>
      <c r="J18">
        <f>SUBTOTAL(109,Details[BNB Fee])</f>
        <v>0</v>
      </c>
      <c r="O18">
        <f>SUBTOTAL(103,Details[ID])</f>
        <v>0</v>
      </c>
    </row>
    <row r="26" spans="1:15" ht="12.75" customHeight="1" x14ac:dyDescent="0.2">
      <c r="D26" s="8"/>
    </row>
  </sheetData>
  <phoneticPr fontId="1" type="noConversion"/>
  <dataValidations disablePrompts="1" count="1">
    <dataValidation type="list" allowBlank="1" showInputMessage="1" showErrorMessage="1" sqref="B3" xr:uid="{16C27F3A-1695-4ADE-AACF-25233EEC127E}">
      <formula1>"Crypto,Fiat"</formula1>
    </dataValidation>
  </dataValidations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  <legacyDrawing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E7B865-F3D9-4AE5-A5C4-11FF76FA69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Assets</vt:lpstr>
      <vt:lpstr>Currencies</vt:lpstr>
      <vt:lpstr>Misc</vt:lpstr>
      <vt:lpstr>Ledger Template</vt:lpstr>
      <vt:lpstr>'Currencies'!Criteria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Росен Д. Стойчев</cp:lastModifiedBy>
  <cp:revision>1</cp:revision>
  <dcterms:created xsi:type="dcterms:W3CDTF">2025-09-03T14:28:39Z</dcterms:created>
  <dcterms:modified xsi:type="dcterms:W3CDTF">2025-09-30T09:28:17Z</dcterms:modified>
  <dc:language>bg-BG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9c53e24-5cfd-4307-952f-4b31e7c03d6f_Enabled">
    <vt:lpwstr>true</vt:lpwstr>
  </property>
  <property fmtid="{D5CDD505-2E9C-101B-9397-08002B2CF9AE}" pid="3" name="MSIP_Label_79c53e24-5cfd-4307-952f-4b31e7c03d6f_SetDate">
    <vt:lpwstr>2025-09-22T22:07:49Z</vt:lpwstr>
  </property>
  <property fmtid="{D5CDD505-2E9C-101B-9397-08002B2CF9AE}" pid="4" name="MSIP_Label_79c53e24-5cfd-4307-952f-4b31e7c03d6f_Method">
    <vt:lpwstr>Privileged</vt:lpwstr>
  </property>
  <property fmtid="{D5CDD505-2E9C-101B-9397-08002B2CF9AE}" pid="5" name="MSIP_Label_79c53e24-5cfd-4307-952f-4b31e7c03d6f_Name">
    <vt:lpwstr>Public</vt:lpwstr>
  </property>
  <property fmtid="{D5CDD505-2E9C-101B-9397-08002B2CF9AE}" pid="6" name="MSIP_Label_79c53e24-5cfd-4307-952f-4b31e7c03d6f_SiteId">
    <vt:lpwstr>420584ab-4eec-41c7-bb43-7364d0a6fdfd</vt:lpwstr>
  </property>
  <property fmtid="{D5CDD505-2E9C-101B-9397-08002B2CF9AE}" pid="7" name="MSIP_Label_79c53e24-5cfd-4307-952f-4b31e7c03d6f_ActionId">
    <vt:lpwstr>d08158cd-3ff7-4714-8775-e30e8b29f417</vt:lpwstr>
  </property>
  <property fmtid="{D5CDD505-2E9C-101B-9397-08002B2CF9AE}" pid="8" name="MSIP_Label_79c53e24-5cfd-4307-952f-4b31e7c03d6f_ContentBits">
    <vt:lpwstr>0</vt:lpwstr>
  </property>
  <property fmtid="{D5CDD505-2E9C-101B-9397-08002B2CF9AE}" pid="9" name="MSIP_Label_79c53e24-5cfd-4307-952f-4b31e7c03d6f_Tag">
    <vt:lpwstr>10, 0, 1, 1</vt:lpwstr>
  </property>
</Properties>
</file>