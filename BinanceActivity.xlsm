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475A3E11-AD32-49EA-9D92-8B7A8A943BE4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4" i="1" a="1"/>
  <c r="B4" i="1" s="1"/>
  <c r="B9" i="1" a="1"/>
  <c r="B9" i="1" s="1"/>
  <c r="B8" i="1" a="1"/>
  <c r="B8" i="1" s="1"/>
  <c r="B7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0" i="1" a="1"/>
  <c r="B10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<sst xmlns="http://schemas.openxmlformats.org/spreadsheetml/2006/main" count="173" uniqueCount="148">
  <si>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</si>
  <si>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</si>
  <si>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</si>
  <si>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</si>
  <si>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</si>
  <si>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</si>
  <si>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</si>
  <si>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</si>
  <si>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</si>
  <si>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</si>
  <si>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</si>
  <si>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</si>
  <si>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</si>
  <si>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</si>
  <si>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</si>
  <si>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</si>
  <si>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</si>
  <si>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</si>
  <si>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</si>
  <si>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</si>
  <si>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</si>
  <si>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</si>
  <si>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</si>
  <si>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</si>
  <si>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</si>
  <si>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</si>
  <si>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</si>
  <si>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</si>
  <si>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</si>
  <si>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</si>
  <si>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</si>
  <si>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</si>
  <si>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</si>
  <si>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</si>
  <si>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</si>
  <si>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</si>
  <si>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</si>
  <si>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</si>
  <si>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</si>
  <si>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</si>
  <si>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</si>
  <si>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</si>
  <si>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</si>
  <si>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</si>
  <si>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</si>
  <si>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</si>
  <si>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</si>
  <si>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</si>
  <si>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</si>
  <si>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</si>
  <si>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</si>
  <si>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</si>
  <si>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</si>
  <si>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</si>
  <si>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</si>
  <si>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</si>
  <si>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</si>
  <si>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</si>
  <si>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</si>
  <si>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</si>
  <si>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</si>
  <si>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</si>
  <si>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</si>
  <si>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</si>
  <si>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</si>
  <si>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</si>
  <si>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</si>
  <si>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</si>
  <si>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</si>
  <si>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</si>
  <si>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</si>
  <si>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</si>
  <si>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</si>
  <si>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</si>
  <si>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</si>
  <si>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</si>
  <si>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</si>
  <si>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</si>
  <si>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</si>
  <si>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</si>
  <si>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</si>
  <si>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</si>
  <si>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</si>
  <si>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</si>
  <si>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Commision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</si>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</sst>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3"/>
    <tableColumn id="10" xr3:uid="{C254CAED-99FB-472A-8694-6B4E59FE47F3}" name="Evaluation Asset" dataDxfId="62"/>
    <tableColumn id="1" xr3:uid="{355CDFDF-675F-4DEC-817C-17FC7CFE7487}" name="Activity Start Date" dataDxfId="61"/>
    <tableColumn id="5" xr3:uid="{67155EC9-1196-4F2D-9401-88B27FBBDCC3}" name="Maker Fee" dataDxfId="60"/>
    <tableColumn id="6" xr3:uid="{262113F3-B82B-46FE-B8FD-5B4323E6DC2B}" name="Taker Fee" dataDxfId="59"/>
    <tableColumn id="7" xr3:uid="{21D2A591-ACD5-449F-94D3-3EB328F88B9F}" name="Buyer Fee" dataDxfId="58"/>
    <tableColumn id="8" xr3:uid="{718F0E26-0FF9-4BBB-BA98-18E85B0B8DA2}" name="Seller Fee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6" totalsRowDxfId="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5" totalsRowDxfId="5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4" totalsRowDxfId="4"/>
    <tableColumn id="5" xr3:uid="{7D6BA41C-60AE-4FDF-A8ED-199FDF3084F4}" name="Spot Cost" totalsRowFunction="sum" dataDxfId="53" totalsRowDxfId="3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52" totalsRowDxfId="2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51" totalsRowDxfId="1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50" totalsRowDxfId="0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9"/>
    <tableColumn id="3" xr3:uid="{496F3DEA-85DD-4658-83B5-F0A38E13C814}" name="Transfers" dataDxfId="48"/>
    <tableColumn id="4" xr3:uid="{976B3AB6-32BC-4903-964B-D6306327EC3A}" name="Conversions" dataDxfId="47"/>
    <tableColumn id="5" xr3:uid="{30F60354-2A73-4BDE-8A3A-97599788FD0F}" name="Dust Log" dataDxfId="46"/>
    <tableColumn id="6" xr3:uid="{77D4C728-BBEA-4F52-B500-2FF17985ECA9}" name="Fiat Buys" dataDxfId="45"/>
    <tableColumn id="7" xr3:uid="{7AF7CAFE-256D-440A-9E46-0E0E62EDA58D}" name="Fiat Sells" dataDxfId="44"/>
    <tableColumn id="8" xr3:uid="{393A80E1-A845-4DCA-A6DB-5A7ECE9427BE}" name="Fiat Deposits" dataDxfId="43"/>
    <tableColumn id="9" xr3:uid="{24B88B35-3E3C-49DB-B738-AF5F80E0BE3E}" name="Fiat Withdraws" dataDxfId="42"/>
    <tableColumn id="10" xr3:uid="{2C4C24B5-7E14-4A96-9AF2-07CD957A4F40}" name="Crypto Deposits" dataDxfId="41"/>
    <tableColumn id="11" xr3:uid="{AE6480AE-7BCC-466E-91F5-C3695832F768}" name="Crypto Withdraws" dataDxfId="40"/>
    <tableColumn id="12" xr3:uid="{BF0CAAF2-8228-4C83-9AFF-0BA2895994DD}" name="Distributions" dataDxfId="39"/>
    <tableColumn id="13" xr3:uid="{5AEF5894-F0F1-4E77-8B5D-C6BB2EAFBA9A}" name="Flexible Earns" dataDxfId="38"/>
    <tableColumn id="14" xr3:uid="{4F04E910-29EC-43FA-ADF2-7C9081584FCC}" name="Locked Earns" dataDxfId="37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36"/>
    <tableColumn id="7" xr3:uid="{641916A7-AD5A-4304-80BD-D8AAED6FCBC0}" name="Use for Evaluation" dataDxfId="35"/>
    <tableColumn id="65" xr3:uid="{1359C594-DA3A-4FC2-B7FC-DD8A47C9AAA0}" name="Markets" dataDxfId="34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33"/>
    <tableColumn id="2" xr3:uid="{0F1AC480-D7B7-4F2E-BA02-2230B5B325A1}" name="Applied" dataDxfId="32"/>
    <tableColumn id="3" xr3:uid="{9BBE3EE2-F501-41FB-847D-C25F2C5098C2}" name="Convert Order ID" dataDxfId="31"/>
    <tableColumn id="4" xr3:uid="{DAADDE0C-3AD0-4A03-9C16-C4F26D559DA1}" name="From Asset"/>
    <tableColumn id="5" xr3:uid="{39B97D4B-0C82-4F21-B9E1-AB41C5B9D131}" name="From Amount" dataDxfId="30"/>
    <tableColumn id="6" xr3:uid="{C2462DD8-88C1-4B61-B643-79DFD479B9C6}" name="Spot Wallet" dataDxfId="29"/>
    <tableColumn id="7" xr3:uid="{542DB8DD-BDED-4361-A83D-CDEB41F78E11}" name="Funding Wallet" dataDxfId="28"/>
    <tableColumn id="8" xr3:uid="{8F09C69A-0857-4691-8A8E-5E5E530E1174}" name="Earn Wallet" dataDxfId="27"/>
    <tableColumn id="9" xr3:uid="{ACF39040-97FA-4527-A0E9-EEADF10EA789}" name="Is Valid" dataDxfId="26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25"/>
    <tableColumn id="11" xr3:uid="{F4567656-CAE8-4928-85B1-736BEBE5A197}" name="To Amount" dataDxfId="24"/>
    <tableColumn id="13" xr3:uid="{A2734D08-B033-4769-B6C1-F8C66D7058AD}" name="Ratio" dataDxfId="23"/>
    <tableColumn id="10" xr3:uid="{3A9CC71F-A1C1-4007-8F59-4FF2999FF524}" name="Note" dataDxfId="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21"/>
    <tableColumn id="2" xr3:uid="{A6536661-3405-4582-951F-A6A14504D084}" name="Applied" dataDxfId="20"/>
    <tableColumn id="3" xr3:uid="{C79C3939-2F7D-45DF-9C6A-D1801FB8E863}" name="Dribblet Tx ID" dataDxfId="19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8"/>
    <tableColumn id="2" xr3:uid="{A1169244-DC3E-40D8-A647-316DD8DB603A}" name="Wallet" dataDxfId="17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6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5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4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3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2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1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10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9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8"/>
    <tableColumn id="7" xr3:uid="{07D19152-2558-4F61-878E-9B51E845BDD5}" name="Observed" dataDxfId="7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tabSelected="1" workbookViewId="0">
      <pane ySplit="4" topLeftCell="A5" activePane="bottomLeft" state="frozen"/>
      <selection pane="bottomLeft" activeCell="K2" sqref="K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  <col min="21" max="21" width="16.42578125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144</v>
      </c>
      <c r="L1" t="s">
        <v>145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  <c r="T1" t="s">
        <v>143</v>
      </c>
      <c r="U1" t="s">
        <v>146</v>
      </c>
      <c r="V1" t="s">
        <v>147</v>
      </c>
    </row>
    <row r="2" spans="1:22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115</v>
      </c>
      <c r="D4" t="s">
        <v>116</v>
      </c>
      <c r="E4" t="s">
        <v>109</v>
      </c>
      <c r="F4" t="s">
        <v>112</v>
      </c>
      <c r="G4" t="s">
        <v>110</v>
      </c>
      <c r="H4" t="s">
        <v>113</v>
      </c>
      <c r="I4" t="s">
        <v>111</v>
      </c>
      <c r="J4" t="s">
        <v>114</v>
      </c>
      <c r="K4" t="s">
        <v>123</v>
      </c>
      <c r="L4" t="s">
        <v>124</v>
      </c>
      <c r="M4" t="s">
        <v>125</v>
      </c>
      <c r="N4" t="s">
        <v>126</v>
      </c>
      <c r="O4" t="s">
        <v>117</v>
      </c>
    </row>
    <row r="5" spans="1:22" x14ac:dyDescent="0.2">
      <c r="C5" s="13"/>
      <c r="D5" s="13"/>
      <c r="E5" s="13"/>
      <c r="F5" s="13"/>
      <c r="H5" s="13"/>
      <c r="J5" s="13"/>
      <c r="M5" s="13"/>
    </row>
    <row r="6" spans="1:22" x14ac:dyDescent="0.2">
      <c r="A6">
        <f>SUBTOTAL(103,Wallet[Ticker])</f>
        <v>0</v>
      </c>
      <c r="C6" s="13"/>
      <c r="D6" s="13">
        <f>SUBTOTAL(109,Wallet[Total Cost])</f>
        <v>0</v>
      </c>
      <c r="E6" s="13"/>
      <c r="F6" s="13">
        <f>SUBTOTAL(109,Wallet[Spot Cost])</f>
        <v>0</v>
      </c>
      <c r="H6" s="13">
        <f>SUBTOTAL(109,Wallet[Funding Cost])</f>
        <v>0</v>
      </c>
      <c r="J6" s="13">
        <f>SUBTOTAL(109,Wallet[Earn Cost])</f>
        <v>0</v>
      </c>
      <c r="M6" s="13"/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B17" sqref="B17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128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122</v>
      </c>
      <c r="G4" t="s">
        <v>37</v>
      </c>
      <c r="H4" t="s">
        <v>52</v>
      </c>
      <c r="I4" t="s">
        <v>53</v>
      </c>
      <c r="J4" t="s">
        <v>135</v>
      </c>
    </row>
    <row r="5" spans="1:11" x14ac:dyDescent="0.2">
      <c r="A5" t="s">
        <v>1</v>
      </c>
      <c r="B5" t="s">
        <v>131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132</v>
      </c>
      <c r="C7" t="s">
        <v>130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133</v>
      </c>
      <c r="C8" t="s">
        <v>130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134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55</v>
      </c>
      <c r="B1" t="s">
        <v>72</v>
      </c>
      <c r="C1" t="s">
        <v>68</v>
      </c>
      <c r="D1" t="s">
        <v>77</v>
      </c>
      <c r="E1" t="s">
        <v>74</v>
      </c>
      <c r="F1" t="s">
        <v>69</v>
      </c>
      <c r="G1" t="s">
        <v>70</v>
      </c>
      <c r="H1" t="s">
        <v>71</v>
      </c>
      <c r="I1" t="s">
        <v>73</v>
      </c>
      <c r="J1" t="s">
        <v>78</v>
      </c>
      <c r="K1" t="s">
        <v>76</v>
      </c>
      <c r="L1" t="s">
        <v>75</v>
      </c>
      <c r="M1" t="s">
        <v>62</v>
      </c>
      <c r="O1" t="s">
        <v>55</v>
      </c>
      <c r="P1" t="s">
        <v>72</v>
      </c>
      <c r="Q1" t="s">
        <v>83</v>
      </c>
      <c r="R1" t="s">
        <v>7</v>
      </c>
      <c r="S1" t="s">
        <v>79</v>
      </c>
      <c r="T1" t="s">
        <v>80</v>
      </c>
      <c r="U1" t="s">
        <v>81</v>
      </c>
      <c r="V1" t="s">
        <v>82</v>
      </c>
      <c r="W1" t="s">
        <v>86</v>
      </c>
      <c r="X1" t="s">
        <v>88</v>
      </c>
      <c r="Y1" t="s">
        <v>90</v>
      </c>
      <c r="Z1" t="s">
        <v>85</v>
      </c>
      <c r="AA1" t="s">
        <v>87</v>
      </c>
      <c r="AB1" t="s">
        <v>89</v>
      </c>
      <c r="AC1" t="s">
        <v>91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97</v>
      </c>
      <c r="AJ1" t="s">
        <v>98</v>
      </c>
      <c r="AK1" t="s">
        <v>99</v>
      </c>
      <c r="AL1" t="s">
        <v>100</v>
      </c>
      <c r="AM1" t="s">
        <v>101</v>
      </c>
      <c r="AN1" t="s">
        <v>102</v>
      </c>
      <c r="AO1" t="s">
        <v>103</v>
      </c>
      <c r="AP1" t="s">
        <v>104</v>
      </c>
      <c r="AQ1" t="s">
        <v>105</v>
      </c>
      <c r="AR1" t="s">
        <v>106</v>
      </c>
      <c r="AS1" t="s">
        <v>107</v>
      </c>
      <c r="AT1" t="s">
        <v>108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C1" sqref="C1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119</v>
      </c>
      <c r="I1" t="s">
        <v>29</v>
      </c>
      <c r="J1" t="s">
        <v>27</v>
      </c>
      <c r="K1" t="s">
        <v>10</v>
      </c>
      <c r="L1" t="s">
        <v>121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59</v>
      </c>
      <c r="E4">
        <f>SUMIF(Details[Operation],Summary[[#This Row],[In Operation]],Details[Acquired])</f>
        <v>0</v>
      </c>
      <c r="F4" t="s">
        <v>60</v>
      </c>
      <c r="G4">
        <f>SUMIF(Details[Operation],Summary[[#This Row],[Out Operation]],Details[Spent])</f>
        <v>0</v>
      </c>
      <c r="H4" t="s">
        <v>61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120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127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63</v>
      </c>
      <c r="G8">
        <f>SUMIF(Details[Operation],Summary[[#This Row],[Out Operation]],Details[Spent])</f>
        <v>0</v>
      </c>
      <c r="H8" t="s">
        <v>64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118</v>
      </c>
      <c r="B9" t="e" cm="1">
        <f t="array" ref="B9">Summary[[#Totals],[Balance]]-INDEX(Wallet[Static Amount], MATCH(Markets[Ticker],Wallet[Ticker],0))</f>
        <v>#N/A</v>
      </c>
      <c r="D9" t="s">
        <v>65</v>
      </c>
      <c r="E9">
        <f>SUMIF(Details[Operation],Summary[[#This Row],[In Operation]],Details[Acquired])</f>
        <v>0</v>
      </c>
      <c r="F9" t="s">
        <v>67</v>
      </c>
      <c r="G9">
        <f>SUMIF(Details[Operation],Summary[[#This Row],[Out Operation]],Details[Spent])</f>
        <v>0</v>
      </c>
      <c r="H9" t="s">
        <v>66</v>
      </c>
      <c r="I9" cm="1">
        <f t="array" ref="I9">SUMIFS(Details[Charge],Details[Operation],Summary[[#This Row],[In Operation]])+SUMIFS(Details[Charge],Details[Operation],Summary[[#This Row],[Out Operation]],Details[Ticker],Markets[Ticker])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56</v>
      </c>
      <c r="B10" s="11" cm="1">
        <f t="array" ref="B10">UserInfo[Activity Start Date]</f>
        <v>45809</v>
      </c>
      <c r="D10" t="s">
        <v>28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3" spans="1:15" ht="12.75" customHeight="1" x14ac:dyDescent="0.2">
      <c r="A13" t="s">
        <v>7</v>
      </c>
      <c r="B13" t="s">
        <v>129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84</v>
      </c>
      <c r="N16" t="s">
        <v>62</v>
      </c>
      <c r="O16" t="s">
        <v>58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2025-09-29T22:03:12Z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