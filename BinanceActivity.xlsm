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A2D13CCC-4AB8-4D0E-AEBC-46D9905CEFF1}" xr6:coauthVersionLast="47" xr6:coauthVersionMax="47" xr10:uidLastSave="{00000000-0000-0000-0000-000000000000}"/>
  <bookViews>
    <workbookView xWindow="28680" yWindow="-120" windowWidth="29040" windowHeight="15720" tabRatio="614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Misc!$D$1:$K$1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K4" i="27"/>
  <c r="J4" i="27"/>
  <c r="I4" i="27"/>
  <c r="H4" i="27"/>
  <c r="G4" i="27"/>
  <c r="F4" i="27"/>
  <c r="E4" i="27"/>
  <c r="D4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J17" i="1"/>
  <c r="E17" i="1"/>
  <c r="D17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B11" i="1" a="1"/>
  <c r="B11" i="1" s="1"/>
  <c r="A6" i="4"/>
  <c r="O17" i="1"/>
  <c r="I8" i="1" l="1"/>
  <c r="K8" i="1"/>
  <c r="E8" i="1"/>
  <c r="G8" i="1"/>
  <c r="J5" i="1"/>
  <c r="J6" i="1"/>
  <c r="J3" i="1"/>
  <c r="J7" i="1"/>
  <c r="J4" i="1"/>
  <c r="J2" i="1"/>
  <c r="J8" i="1" s="1"/>
  <c r="J6" i="4"/>
  <c r="H6" i="4"/>
  <c r="D6" i="4"/>
  <c r="F6" i="4"/>
  <c r="B5" i="1" l="1" a="1"/>
  <c r="B5" i="1" s="1"/>
  <c r="B8" i="1"/>
  <c r="B10" i="1" a="1"/>
  <c r="B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<sst xmlns="http://schemas.openxmlformats.org/spreadsheetml/2006/main" count="172" uniqueCount="127">
  <si>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</si>
  <si>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</si>
  <si>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</si>
  <si>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</si>
  <si>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</si>
  <si>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</si>
  <si>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</si>
  <si>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</si>
  <si>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</si>
  <si>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</si>
  <si>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</si>
  <si>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</si>
  <si>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</si>
  <si>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</si>
  <si>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</si>
  <si>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</si>
  <si>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</si>
  <si>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</si>
  <si>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</si>
  <si>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</si>
  <si>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</si>
  <si>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</si>
  <si>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</si>
  <si>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</si>
  <si>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</si>
  <si>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</si>
  <si>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</si>
  <si>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</si>
  <si>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</si>
  <si>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</si>
  <si>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</si>
  <si>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</si>
  <si>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</si>
  <si>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</si>
  <si>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</si>
  <si>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</si>
  <si>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</si>
  <si>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</si>
  <si>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</si>
  <si>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</si>
  <si>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</si>
  <si>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</si>
  <si>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</si>
  <si>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</si>
  <si>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</si>
  <si>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</si>
  <si>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</si>
  <si>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</si>
  <si>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</si>
  <si>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</si>
  <si>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</si>
  <si>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</si>
  <si>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Last Update</t>
  </si>
  <si>
    <t>Stamp</t>
  </si>
  <si>
    <t>Activity Start Date</t>
  </si>
  <si>
    <t xml:space="preserve"> 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</si>
  <si>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</si>
  <si>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</si>
  <si>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</si>
  <si>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</si>
  <si>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</si>
  <si>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</si>
  <si>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</si>
  <si>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</si>
  <si>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</si>
  <si>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</si>
  <si>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</si>
  <si>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</si>
  <si>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</si>
  <si>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</si>
  <si>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</si>
  <si>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</si>
  <si>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</si>
  <si>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Commision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</si>
  <si>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</si>
  <si>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</si>
  <si>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</si>
  <si>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</si>
  <si>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</si>
  <si>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</si>
  <si>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</si>
  <si>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</si>
  <si>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</si>
  <si>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</si>
  <si>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</si>
  <si>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</si>
  <si>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</si>
  <si>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</si>
  <si>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</si>
  <si>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</si>
  <si>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</si>
  <si>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</si>
  <si>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</si>
  <si>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</si>
  <si>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</si>
  <si>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</si>
  <si>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</si>
  <si>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</si>
  <si>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</si>
  <si>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</si>
  <si>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</si>
  <si>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</si>
  <si>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</si>
  <si>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</si>
  <si>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</si>
  <si>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</si>
  <si>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</si>
  <si>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</si>
  <si>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</si>
  <si>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</si>
  <si>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</si>
  <si>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</si>
  <si>
    <t>Conversion ID</t>
  </si>
  <si>
    <t>Transaction ID</t>
  </si>
  <si>
    <t>Last Update Date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</si>
  <si>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</si>
  <si>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</si>
  <si>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</si>
  <si>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</si>
  <si>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</si>
  <si>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</si>
  <si>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</si>
  <si>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</si>
  <si>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</si>
  <si>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</si>
  <si>
    <t>BNB</t>
  </si>
  <si>
    <t>Default Fiat 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</si>
</sst>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4" formatCode="#,##0.00######&quot; лв&quot;;[Red]#,##0.00######&quot; лв&quot;"/>
    <numFmt numFmtId="175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64"/>
    <tableColumn id="10" xr3:uid="{C254CAED-99FB-472A-8694-6B4E59FE47F3}" name="Quote" dataDxfId="63"/>
    <tableColumn id="1" xr3:uid="{355CDFDF-675F-4DEC-817C-17FC7CFE7487}" name="Activity Start Date" dataDxfId="62"/>
    <tableColumn id="5" xr3:uid="{67155EC9-1196-4F2D-9401-88B27FBBDCC3}" name="Maker Fee" dataDxfId="61"/>
    <tableColumn id="6" xr3:uid="{262113F3-B82B-46FE-B8FD-5B4323E6DC2B}" name="Taker Fee" dataDxfId="60"/>
    <tableColumn id="7" xr3:uid="{21D2A591-ACD5-449F-94D3-3EB328F88B9F}" name="Buyer Fee" dataDxfId="59"/>
    <tableColumn id="8" xr3:uid="{718F0E26-0FF9-4BBB-BA98-18E85B0B8DA2}" name="Seller Fee" dataDxfId="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57" totalsRowDxfId="6">
      <calculatedColumnFormula>Wallet[[#This Row],[Static Amount]]+Wallet[[#This Row],[Dynamic Amount]]</calculatedColumnFormula>
    </tableColumn>
    <tableColumn id="4" xr3:uid="{6BD03EB5-C572-4866-BCD8-662B93F69C6B}" name="Total Cost" totalsRowFunction="sum" dataDxfId="56" totalsRowDxfId="5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55" totalsRowDxfId="4"/>
    <tableColumn id="5" xr3:uid="{7D6BA41C-60AE-4FDF-A8ED-199FDF3084F4}" name="Spot Cost" totalsRowFunction="sum" dataDxfId="54" totalsRowDxfId="3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53" totalsRowDxfId="2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52" totalsRowDxfId="1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51" totalsRowDxfId="0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V2" totalsRowShown="0">
  <autoFilter ref="I1:V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50"/>
    <tableColumn id="3" xr3:uid="{496F3DEA-85DD-4658-83B5-F0A38E13C814}" name="Transfers" dataDxfId="49"/>
    <tableColumn id="4" xr3:uid="{976B3AB6-32BC-4903-964B-D6306327EC3A}" name="Conversions" dataDxfId="48"/>
    <tableColumn id="5" xr3:uid="{30F60354-2A73-4BDE-8A3A-97599788FD0F}" name="Dust Log" dataDxfId="47"/>
    <tableColumn id="6" xr3:uid="{77D4C728-BBEA-4F52-B500-2FF17985ECA9}" name="Fiat Buys" dataDxfId="46"/>
    <tableColumn id="7" xr3:uid="{7AF7CAFE-256D-440A-9E46-0E0E62EDA58D}" name="Fiat Sells" dataDxfId="45"/>
    <tableColumn id="8" xr3:uid="{393A80E1-A845-4DCA-A6DB-5A7ECE9427BE}" name="Fiat Deposits" dataDxfId="44"/>
    <tableColumn id="9" xr3:uid="{24B88B35-3E3C-49DB-B738-AF5F80E0BE3E}" name="Fiat Withdraws" dataDxfId="43"/>
    <tableColumn id="10" xr3:uid="{2C4C24B5-7E14-4A96-9AF2-07CD957A4F40}" name="Crypto Deposits" dataDxfId="42"/>
    <tableColumn id="11" xr3:uid="{AE6480AE-7BCC-466E-91F5-C3695832F768}" name="Crypto Withdraws" dataDxfId="41"/>
    <tableColumn id="12" xr3:uid="{BF0CAAF2-8228-4C83-9AFF-0BA2895994DD}" name="Distributions" dataDxfId="40"/>
    <tableColumn id="13" xr3:uid="{5AEF5894-F0F1-4E77-8B5D-C6BB2EAFBA9A}" name="Flexible Earns" dataDxfId="39"/>
    <tableColumn id="14" xr3:uid="{4F04E910-29EC-43FA-ADF2-7C9081584FCC}" name="Locked Earns" dataDxfId="38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H10" totalsRowShown="0">
  <autoFilter ref="A4:H10" xr:uid="{90AAC5E2-77F7-4EAD-B980-99862E98D4E4}"/>
  <tableColumns count="8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37"/>
    <tableColumn id="65" xr3:uid="{1359C594-DA3A-4FC2-B7FC-DD8A47C9AAA0}" name="Markets" dataDxfId="7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C6:M7" insertRow="1" totalsRowShown="0">
  <autoFilter ref="C6:M7" xr:uid="{B067E519-38EF-47E3-B766-327C573FAEE7}"/>
  <sortState xmlns:xlrd2="http://schemas.microsoft.com/office/spreadsheetml/2017/richdata2" ref="C7:M7">
    <sortCondition ref="C7"/>
  </sortState>
  <tableColumns count="11">
    <tableColumn id="1" xr3:uid="{C5652673-C5A6-4AFB-A611-D2DC6E99F37E}" name="Stamp" dataDxfId="36"/>
    <tableColumn id="2" xr3:uid="{0F1AC480-D7B7-4F2E-BA02-2230B5B325A1}" name="Applied" dataDxfId="35"/>
    <tableColumn id="3" xr3:uid="{9BBE3EE2-F501-41FB-847D-C25F2C5098C2}" name="Conversion ID" dataDxfId="34"/>
    <tableColumn id="4" xr3:uid="{DAADDE0C-3AD0-4A03-9C16-C4F26D559DA1}" name="From Asset"/>
    <tableColumn id="5" xr3:uid="{39B97D4B-0C82-4F21-B9E1-AB41C5B9D131}" name="From Amount" dataDxfId="33"/>
    <tableColumn id="6" xr3:uid="{C2462DD8-88C1-4B61-B643-79DFD479B9C6}" name="Spot Wallet" dataDxfId="32"/>
    <tableColumn id="7" xr3:uid="{542DB8DD-BDED-4361-A83D-CDEB41F78E11}" name="Funding Wallet" dataDxfId="31"/>
    <tableColumn id="8" xr3:uid="{8F09C69A-0857-4691-8A8E-5E5E530E1174}" name="Earn Wallet" dataDxfId="30"/>
    <tableColumn id="9" xr3:uid="{ACF39040-97FA-4527-A0E9-EEADF10EA789}" name="Is Valid" dataDxfId="29"/>
    <tableColumn id="12" xr3:uid="{DA89DFA5-9F2A-4913-8F90-F9772FF286A6}" name="To Asset" dataDxfId="28"/>
    <tableColumn id="11" xr3:uid="{F4567656-CAE8-4928-85B1-736BEBE5A197}" name="To Amount" dataDxfId="27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O6:V7" insertRow="1" totalsRowShown="0">
  <autoFilter ref="O6:V7" xr:uid="{7A016EAE-CE7C-4C20-9651-50D3D8A0E41C}"/>
  <sortState xmlns:xlrd2="http://schemas.microsoft.com/office/spreadsheetml/2017/richdata2" ref="O7:V7">
    <sortCondition ref="O7"/>
  </sortState>
  <tableColumns count="8">
    <tableColumn id="1" xr3:uid="{3033F95D-78D6-4DCC-8CAF-28F566221EAA}" name="Stamp" dataDxfId="26"/>
    <tableColumn id="2" xr3:uid="{A6536661-3405-4582-951F-A6A14504D084}" name="Applied" dataDxfId="25"/>
    <tableColumn id="3" xr3:uid="{C79C3939-2F7D-45DF-9C6A-D1801FB8E863}" name="Transaction ID" dataDxfId="24"/>
    <tableColumn id="4" xr3:uid="{D164491F-1DF0-445B-8289-CF28D6FA38B6}" name="Ticker"/>
    <tableColumn id="5" xr3:uid="{411425D9-43F6-40DF-AEA0-FF73055F5917}" name="Coin 1" dataDxfId="23"/>
    <tableColumn id="6" xr3:uid="{F516F051-5B89-4C3A-BD8A-548168707ECF}" name="Amount 1" dataDxfId="22"/>
    <tableColumn id="7" xr3:uid="{A2447165-E087-4636-9FD4-900058244811}" name="Charge 1" dataDxfId="21"/>
    <tableColumn id="8" xr3:uid="{C6364AAF-0A30-463E-8BB8-B76149123486}" name="Volume 1" dataDxfId="2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1:K4" totalsRowShown="0">
  <autoFilter ref="C1:K4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3:A4" totalsRowShown="0">
  <autoFilter ref="A3:A4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68C09-6BAC-46AF-9A25-19DA56D1A5FB}" name="CommonQuotes" displayName="CommonQuotes" ref="A6:A11" totalsRowShown="0">
  <autoFilter ref="A6:A11" xr:uid="{70768C09-6BAC-46AF-9A25-19DA56D1A5FB}">
    <filterColumn colId="0" hiddenButton="1"/>
  </autoFilter>
  <tableColumns count="1">
    <tableColumn id="1" xr3:uid="{6259B714-5E31-4725-BAF5-BFB49E7AC283}" name="Ticker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C3C280-EBA0-4871-B824-73DDECFFB38F}" name="DefaultFiat" displayName="DefaultFiat" ref="A1:A2" totalsRowShown="0">
  <autoFilter ref="A1:A2" xr:uid="{20C3C280-EBA0-4871-B824-73DDECFFB38F}">
    <filterColumn colId="0" hiddenButton="1"/>
  </autoFilter>
  <tableColumns count="1">
    <tableColumn id="1" xr3:uid="{7D30D757-55DC-450F-A672-B64456F4AAE8}" name="Default Fiat Ticker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5:O17" totalsRowCount="1">
  <autoFilter ref="A15:O16" xr:uid="{F3CBD49D-CB72-4E7C-9984-E5F18B705DA6}"/>
  <tableColumns count="15">
    <tableColumn id="1" xr3:uid="{D7E5DBD9-E8EF-469B-BEDF-153523AAF4A3}" name="Stamp" dataDxfId="19"/>
    <tableColumn id="2" xr3:uid="{A1169244-DC3E-40D8-A647-316DD8DB603A}" name="Wallet" dataDxfId="18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17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8" totalsRowCount="1">
  <autoFilter ref="D1:L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16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15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14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13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12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11"/>
  </tableColumns>
  <tableStyleInfo name="TableStyleLight5" showFirstColumn="0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10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9"/>
    <tableColumn id="7" xr3:uid="{07D19152-2558-4F61-878E-9B51E845BDD5}" name="Observed" dataDxfId="8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V6"/>
  <sheetViews>
    <sheetView tabSelected="1" workbookViewId="0">
      <pane ySplit="4" topLeftCell="A5" activePane="bottomLeft" state="frozen"/>
      <selection pane="bottomLeft" activeCell="H2" sqref="H2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5" bestFit="1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10" width="19.140625" customWidth="1"/>
    <col min="11" max="11" width="18.85546875" bestFit="1" customWidth="1"/>
    <col min="12" max="12" width="19.140625" customWidth="1"/>
    <col min="13" max="13" width="16.140625" bestFit="1" customWidth="1"/>
    <col min="14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2" x14ac:dyDescent="0.2">
      <c r="A1" t="s">
        <v>46</v>
      </c>
      <c r="B1" t="s">
        <v>124</v>
      </c>
      <c r="C1" t="s">
        <v>54</v>
      </c>
      <c r="D1" t="s">
        <v>47</v>
      </c>
      <c r="E1" t="s">
        <v>48</v>
      </c>
      <c r="F1" t="s">
        <v>49</v>
      </c>
      <c r="G1" t="s">
        <v>50</v>
      </c>
      <c r="I1" t="s">
        <v>55</v>
      </c>
      <c r="J1" t="s">
        <v>4</v>
      </c>
      <c r="K1" t="s">
        <v>108</v>
      </c>
      <c r="L1" t="s">
        <v>109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110</v>
      </c>
      <c r="V1" t="s">
        <v>111</v>
      </c>
    </row>
    <row r="2" spans="1:22" x14ac:dyDescent="0.2">
      <c r="C2" s="11">
        <v>45809</v>
      </c>
      <c r="D2" s="9"/>
      <c r="E2" s="9"/>
      <c r="F2" s="9"/>
      <c r="G2" s="9"/>
      <c r="I2" t="s">
        <v>52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4" spans="1:22" x14ac:dyDescent="0.2">
      <c r="A4" t="s">
        <v>7</v>
      </c>
      <c r="B4" t="s">
        <v>34</v>
      </c>
      <c r="C4" t="s">
        <v>80</v>
      </c>
      <c r="D4" t="s">
        <v>81</v>
      </c>
      <c r="E4" t="s">
        <v>74</v>
      </c>
      <c r="F4" t="s">
        <v>77</v>
      </c>
      <c r="G4" t="s">
        <v>75</v>
      </c>
      <c r="H4" t="s">
        <v>78</v>
      </c>
      <c r="I4" t="s">
        <v>76</v>
      </c>
      <c r="J4" t="s">
        <v>79</v>
      </c>
      <c r="K4" t="s">
        <v>87</v>
      </c>
      <c r="L4" t="s">
        <v>88</v>
      </c>
      <c r="M4" t="s">
        <v>89</v>
      </c>
      <c r="N4" t="s">
        <v>90</v>
      </c>
      <c r="O4" t="s">
        <v>82</v>
      </c>
    </row>
    <row r="5" spans="1:22" x14ac:dyDescent="0.2">
      <c r="C5" s="16"/>
      <c r="D5" s="16"/>
      <c r="E5" s="16"/>
      <c r="F5" s="16"/>
      <c r="H5" s="16"/>
      <c r="J5" s="16"/>
      <c r="M5" s="16"/>
    </row>
    <row r="6" spans="1:22" x14ac:dyDescent="0.2">
      <c r="A6">
        <f>SUBTOTAL(103,Wallet[Ticker])</f>
        <v>0</v>
      </c>
      <c r="C6" s="16"/>
      <c r="D6" s="16">
        <f>SUBTOTAL(109,Wallet[Total Cost])</f>
        <v>0</v>
      </c>
      <c r="E6" s="16"/>
      <c r="F6" s="16">
        <f>SUBTOTAL(109,Wallet[Spot Cost])</f>
        <v>0</v>
      </c>
      <c r="H6" s="16">
        <f>SUBTOTAL(109,Wallet[Funding Cost])</f>
        <v>0</v>
      </c>
      <c r="J6" s="16">
        <f>SUBTOTAL(109,Wallet[Earn Cost])</f>
        <v>0</v>
      </c>
      <c r="M6" s="16"/>
    </row>
  </sheetData>
  <dataConsolidate/>
  <phoneticPr fontId="1" type="noConversion"/>
  <dataValidations count="1">
    <dataValidation type="list" allowBlank="1" showInputMessage="1" showErrorMessage="1" sqref="B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I10"/>
  <sheetViews>
    <sheetView workbookViewId="0">
      <pane ySplit="4" topLeftCell="A5" activePane="bottomLeft" state="frozen"/>
      <selection pane="bottomLeft" activeCell="D1" sqref="D1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19.7109375" bestFit="1" customWidth="1"/>
    <col min="8" max="9" width="10.28515625" bestFit="1" customWidth="1"/>
    <col min="10" max="10" width="11" bestFit="1" customWidth="1"/>
    <col min="11" max="15" width="9.85546875" customWidth="1"/>
    <col min="16" max="16" width="9.140625" customWidth="1"/>
  </cols>
  <sheetData>
    <row r="1" spans="1:9" x14ac:dyDescent="0.2">
      <c r="B1" t="s">
        <v>92</v>
      </c>
    </row>
    <row r="4" spans="1:9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86</v>
      </c>
      <c r="G4" t="s">
        <v>51</v>
      </c>
      <c r="H4" t="s">
        <v>99</v>
      </c>
    </row>
    <row r="5" spans="1:9" x14ac:dyDescent="0.2">
      <c r="A5" t="s">
        <v>1</v>
      </c>
      <c r="B5" t="s">
        <v>95</v>
      </c>
      <c r="C5" t="s">
        <v>3</v>
      </c>
      <c r="D5">
        <v>0</v>
      </c>
      <c r="E5">
        <v>0</v>
      </c>
      <c r="F5">
        <v>8</v>
      </c>
      <c r="G5" s="5" t="b">
        <v>1</v>
      </c>
      <c r="H5" s="5">
        <f>0</f>
        <v>0</v>
      </c>
      <c r="I5" s="3"/>
    </row>
    <row r="6" spans="1:9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7"/>
    </row>
    <row r="7" spans="1:9" x14ac:dyDescent="0.2">
      <c r="A7" t="s">
        <v>38</v>
      </c>
      <c r="B7" t="s">
        <v>96</v>
      </c>
      <c r="C7" t="s">
        <v>94</v>
      </c>
      <c r="D7">
        <v>0</v>
      </c>
      <c r="E7">
        <v>0</v>
      </c>
      <c r="F7">
        <v>2</v>
      </c>
      <c r="G7" s="5" t="b">
        <v>1</v>
      </c>
      <c r="H7" s="5">
        <f>0</f>
        <v>0</v>
      </c>
      <c r="I7" s="1"/>
    </row>
    <row r="8" spans="1:9" x14ac:dyDescent="0.2">
      <c r="A8" t="s">
        <v>40</v>
      </c>
      <c r="B8" t="s">
        <v>97</v>
      </c>
      <c r="C8" t="s">
        <v>94</v>
      </c>
      <c r="D8">
        <v>0</v>
      </c>
      <c r="E8">
        <v>0</v>
      </c>
      <c r="F8">
        <v>2</v>
      </c>
      <c r="G8" s="5" t="b">
        <v>1</v>
      </c>
      <c r="H8" s="5">
        <f>0</f>
        <v>0</v>
      </c>
      <c r="I8" s="2"/>
    </row>
    <row r="9" spans="1:9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5" t="b">
        <v>1</v>
      </c>
      <c r="H9" s="5">
        <f>0</f>
        <v>0</v>
      </c>
      <c r="I9" s="6"/>
    </row>
    <row r="10" spans="1:9" x14ac:dyDescent="0.2">
      <c r="A10" t="s">
        <v>44</v>
      </c>
      <c r="B10" t="s">
        <v>98</v>
      </c>
      <c r="C10" t="s">
        <v>3</v>
      </c>
      <c r="D10">
        <v>0</v>
      </c>
      <c r="E10">
        <v>0</v>
      </c>
      <c r="F10">
        <v>8</v>
      </c>
      <c r="G10" s="5" t="b">
        <v>1</v>
      </c>
      <c r="H10" s="5">
        <f>0</f>
        <v>0</v>
      </c>
      <c r="I10" s="4"/>
    </row>
  </sheetData>
  <phoneticPr fontId="1" type="noConversion"/>
  <dataValidations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V11"/>
  <sheetViews>
    <sheetView workbookViewId="0">
      <pane ySplit="6" topLeftCell="A7" activePane="bottomLeft" state="frozen"/>
      <selection pane="bottomLeft" activeCell="B5" sqref="B5"/>
    </sheetView>
  </sheetViews>
  <sheetFormatPr defaultRowHeight="12.75" x14ac:dyDescent="0.2"/>
  <cols>
    <col min="1" max="1" width="17.85546875" bestFit="1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8.140625" bestFit="1" customWidth="1"/>
    <col min="14" max="14" width="10.28515625" bestFit="1" customWidth="1"/>
    <col min="15" max="15" width="16.42578125" bestFit="1" customWidth="1"/>
    <col min="16" max="16" width="10.28515625" bestFit="1" customWidth="1"/>
    <col min="17" max="17" width="11" customWidth="1"/>
    <col min="18" max="18" width="12.7109375" customWidth="1"/>
    <col min="19" max="50" width="13.28515625" customWidth="1"/>
  </cols>
  <sheetData>
    <row r="1" spans="1:22" x14ac:dyDescent="0.2">
      <c r="A1" t="s">
        <v>126</v>
      </c>
      <c r="C1" t="s">
        <v>7</v>
      </c>
      <c r="D1" t="s">
        <v>1</v>
      </c>
      <c r="E1" t="s">
        <v>42</v>
      </c>
      <c r="F1" t="s">
        <v>38</v>
      </c>
      <c r="G1" t="s">
        <v>40</v>
      </c>
      <c r="H1" t="s">
        <v>2</v>
      </c>
      <c r="I1" t="s">
        <v>44</v>
      </c>
      <c r="J1" t="s">
        <v>121</v>
      </c>
      <c r="K1" t="s">
        <v>119</v>
      </c>
    </row>
    <row r="2" spans="1:22" x14ac:dyDescent="0.2">
      <c r="A2" t="s">
        <v>40</v>
      </c>
      <c r="C2" t="s">
        <v>115</v>
      </c>
      <c r="D2" t="s">
        <v>118</v>
      </c>
      <c r="E2" t="s">
        <v>118</v>
      </c>
      <c r="F2" t="s">
        <v>118</v>
      </c>
      <c r="G2" t="s">
        <v>117</v>
      </c>
      <c r="H2" t="s">
        <v>118</v>
      </c>
      <c r="I2" t="s">
        <v>118</v>
      </c>
      <c r="J2" t="s">
        <v>122</v>
      </c>
      <c r="K2" t="s">
        <v>117</v>
      </c>
    </row>
    <row r="3" spans="1:22" x14ac:dyDescent="0.2">
      <c r="A3" t="s">
        <v>39</v>
      </c>
      <c r="C3" t="s">
        <v>116</v>
      </c>
      <c r="G3" t="s">
        <v>2</v>
      </c>
      <c r="J3" t="s">
        <v>38</v>
      </c>
      <c r="K3" t="s">
        <v>120</v>
      </c>
    </row>
    <row r="4" spans="1:22" x14ac:dyDescent="0.2">
      <c r="A4">
        <v>-123.45699999999999</v>
      </c>
      <c r="C4" t="s">
        <v>37</v>
      </c>
      <c r="D4" s="3">
        <f>Format[Test Value]</f>
        <v>-123.45699999999999</v>
      </c>
      <c r="E4" s="7">
        <f>Format[Test Value]</f>
        <v>-123.45699999999999</v>
      </c>
      <c r="F4" s="1">
        <f>Format[Test Value]</f>
        <v>-123.45699999999999</v>
      </c>
      <c r="G4" s="2">
        <f>Format[Test Value]</f>
        <v>-123.45699999999999</v>
      </c>
      <c r="H4" s="4">
        <f>Format[Test Value]</f>
        <v>-123.45699999999999</v>
      </c>
      <c r="I4" s="6">
        <f>Format[Test Value]</f>
        <v>-123.45699999999999</v>
      </c>
      <c r="J4" s="14">
        <f>Format[Test Value]</f>
        <v>-123.45699999999999</v>
      </c>
      <c r="K4" s="15">
        <f>Format[Test Value]</f>
        <v>-123.45699999999999</v>
      </c>
    </row>
    <row r="6" spans="1:22" x14ac:dyDescent="0.2">
      <c r="A6" t="s">
        <v>7</v>
      </c>
      <c r="C6" t="s">
        <v>53</v>
      </c>
      <c r="D6" t="s">
        <v>63</v>
      </c>
      <c r="E6" t="s">
        <v>112</v>
      </c>
      <c r="F6" t="s">
        <v>67</v>
      </c>
      <c r="G6" t="s">
        <v>65</v>
      </c>
      <c r="H6" t="s">
        <v>60</v>
      </c>
      <c r="I6" t="s">
        <v>61</v>
      </c>
      <c r="J6" t="s">
        <v>62</v>
      </c>
      <c r="K6" t="s">
        <v>64</v>
      </c>
      <c r="L6" t="s">
        <v>68</v>
      </c>
      <c r="M6" t="s">
        <v>66</v>
      </c>
      <c r="O6" t="s">
        <v>53</v>
      </c>
      <c r="P6" t="s">
        <v>63</v>
      </c>
      <c r="Q6" t="s">
        <v>113</v>
      </c>
      <c r="R6" t="s">
        <v>7</v>
      </c>
      <c r="S6" t="s">
        <v>69</v>
      </c>
      <c r="T6" t="s">
        <v>70</v>
      </c>
      <c r="U6" t="s">
        <v>71</v>
      </c>
      <c r="V6" t="s">
        <v>72</v>
      </c>
    </row>
    <row r="7" spans="1:22" x14ac:dyDescent="0.2">
      <c r="A7" t="s">
        <v>2</v>
      </c>
      <c r="C7" s="10"/>
      <c r="D7" s="5"/>
      <c r="G7" s="12"/>
      <c r="H7" s="12"/>
      <c r="I7" s="12"/>
      <c r="J7" s="12"/>
      <c r="K7" s="5"/>
      <c r="M7" s="13"/>
      <c r="O7" s="10"/>
      <c r="P7" s="5"/>
      <c r="S7" s="13"/>
      <c r="T7" s="13"/>
      <c r="U7" s="13"/>
      <c r="V7" s="13"/>
    </row>
    <row r="8" spans="1:22" x14ac:dyDescent="0.2">
      <c r="A8" t="s">
        <v>44</v>
      </c>
    </row>
    <row r="9" spans="1:22" x14ac:dyDescent="0.2">
      <c r="A9" t="s">
        <v>125</v>
      </c>
    </row>
    <row r="10" spans="1:22" x14ac:dyDescent="0.2">
      <c r="A10" t="s">
        <v>42</v>
      </c>
    </row>
    <row r="11" spans="1:22" x14ac:dyDescent="0.2">
      <c r="A11" t="s">
        <v>1</v>
      </c>
    </row>
  </sheetData>
  <phoneticPr fontId="1" type="noConversion"/>
  <dataValidations count="2">
    <dataValidation type="list" allowBlank="1" showInputMessage="1" showErrorMessage="1" sqref="R7" xr:uid="{8FDC71A3-3930-4463-8BF7-600BC77066F2}">
      <formula1>"BNB,BTC,ETH,USDT,USDC"</formula1>
    </dataValidation>
    <dataValidation type="list" allowBlank="1" showInputMessage="1" showErrorMessage="1" sqref="D2:K2" xr:uid="{16B0A8D1-7D7E-4370-BEA6-013E9A6773F0}">
      <formula1>"Market,Stablecoin,Forex"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5"/>
  <sheetViews>
    <sheetView zoomScaleNormal="100" workbookViewId="0">
      <pane ySplit="15" topLeftCell="A16" activePane="bottomLeft" state="frozen"/>
      <selection pane="bottomLeft" activeCell="C13" sqref="C13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84</v>
      </c>
      <c r="I1" t="s">
        <v>29</v>
      </c>
      <c r="J1" t="s">
        <v>27</v>
      </c>
      <c r="K1" t="s">
        <v>10</v>
      </c>
      <c r="L1" t="s">
        <v>85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124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28</v>
      </c>
      <c r="B5" t="e" cm="1">
        <f t="array" ref="B5">Summary[[#Totals],[Balance]]+INDEX(Wallet[Dynamic Amount], MATCH(Markets[Ticker],Wallet[Ticker],0))</f>
        <v>#N/A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123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34</v>
      </c>
      <c r="D7" t="s">
        <v>35</v>
      </c>
      <c r="E7">
        <f>SUMIF(Details[Operation],Summary[[#This Row],[In Operation]],Details[Acquired])</f>
        <v>0</v>
      </c>
      <c r="F7" t="s">
        <v>58</v>
      </c>
      <c r="G7">
        <f>SUMIF(Details[Operation],Summary[[#This Row],[Out Operation]],Details[Spent])</f>
        <v>0</v>
      </c>
      <c r="H7" t="s">
        <v>59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>
        <f>SUBTOTAL(109,Summary[BNB fees])</f>
        <v>0</v>
      </c>
    </row>
    <row r="9" spans="1:15" ht="12.75" customHeight="1" x14ac:dyDescent="0.2">
      <c r="A9" t="s">
        <v>91</v>
      </c>
      <c r="B9" t="e" cm="1">
        <f t="array" ref="B9">INDEX(Wallet[Dynamic Amount], MATCH(Markets[Ticker],Wallet[Ticker],0))</f>
        <v>#N/A</v>
      </c>
    </row>
    <row r="10" spans="1:15" ht="12.75" customHeight="1" x14ac:dyDescent="0.2">
      <c r="A10" t="s">
        <v>83</v>
      </c>
      <c r="B10" t="e" cm="1">
        <f t="array" ref="B10">Summary[[#Totals],[Balance]]-INDEX(Wallet[Static Amount], MATCH(Markets[Ticker],Wallet[Ticker],0))</f>
        <v>#N/A</v>
      </c>
    </row>
    <row r="11" spans="1:15" ht="12.75" customHeight="1" x14ac:dyDescent="0.2">
      <c r="A11" t="s">
        <v>54</v>
      </c>
      <c r="B11" s="11" cm="1">
        <f t="array" ref="B11">UserInfo[Activity Start Date]</f>
        <v>45809</v>
      </c>
      <c r="D11" t="s">
        <v>7</v>
      </c>
      <c r="E11" t="s">
        <v>93</v>
      </c>
    </row>
    <row r="12" spans="1:15" ht="12.75" customHeight="1" x14ac:dyDescent="0.2">
      <c r="A12" t="s">
        <v>114</v>
      </c>
      <c r="B12" s="10"/>
      <c r="D12" s="5" t="b">
        <v>0</v>
      </c>
      <c r="E12" s="5" t="b">
        <v>0</v>
      </c>
    </row>
    <row r="15" spans="1:15" ht="12.75" customHeight="1" x14ac:dyDescent="0.2">
      <c r="A15" t="s">
        <v>53</v>
      </c>
      <c r="B15" t="s">
        <v>4</v>
      </c>
      <c r="C15" t="s">
        <v>5</v>
      </c>
      <c r="D15" t="s">
        <v>24</v>
      </c>
      <c r="E15" t="s">
        <v>25</v>
      </c>
      <c r="F15" t="s">
        <v>7</v>
      </c>
      <c r="G15" t="s">
        <v>34</v>
      </c>
      <c r="H15" t="s">
        <v>41</v>
      </c>
      <c r="I15" t="s">
        <v>29</v>
      </c>
      <c r="J15" t="s">
        <v>30</v>
      </c>
      <c r="K15" t="s">
        <v>32</v>
      </c>
      <c r="L15" t="s">
        <v>33</v>
      </c>
      <c r="M15" t="s">
        <v>73</v>
      </c>
      <c r="N15" t="s">
        <v>57</v>
      </c>
      <c r="O15" t="s">
        <v>56</v>
      </c>
    </row>
    <row r="16" spans="1:15" ht="12.75" customHeight="1" x14ac:dyDescent="0.2">
      <c r="A16" s="10"/>
      <c r="B16" s="10"/>
    </row>
    <row r="17" spans="4:15" ht="12.75" customHeight="1" x14ac:dyDescent="0.2">
      <c r="D17">
        <f>SUBTOTAL(109,Details[Acquired])</f>
        <v>0</v>
      </c>
      <c r="E17">
        <f>SUBTOTAL(109,Details[Spent])</f>
        <v>0</v>
      </c>
      <c r="J17">
        <f>SUBTOTAL(109,Details[BNB Fee])</f>
        <v>0</v>
      </c>
      <c r="O17">
        <f>SUBTOTAL(103,Details[ID])</f>
        <v>0</v>
      </c>
    </row>
    <row r="25" spans="4:15" ht="12.75" customHeight="1" x14ac:dyDescent="0.2">
      <c r="D25" s="8"/>
    </row>
  </sheetData>
  <phoneticPr fontId="1" type="noConversion"/>
  <dataValidations count="2">
    <dataValidation type="list" allowBlank="1" showInputMessage="1" showErrorMessage="1" sqref="B3" xr:uid="{16C27F3A-1695-4ADE-AACF-25233EEC127E}">
      <formula1>"Crypto,Fiat"</formula1>
    </dataValidation>
    <dataValidation type="list" allowBlank="1" showInputMessage="1" showErrorMessage="1" sqref="B4" xr:uid="{D18F9AC0-3D70-4BF2-AB4F-FE5BD96F6595}">
      <formula1>MyEvalTickers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2025-10-05T00:40:20Z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