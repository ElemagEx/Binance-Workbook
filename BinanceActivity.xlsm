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9A26BD30-6849-4A88-840D-2A2A075717CB}" xr6:coauthVersionLast="47" xr6:coauthVersionMax="47" xr10:uidLastSave="{00000000-0000-0000-0000-000000000000}"/>
  <bookViews>
    <workbookView xWindow="28680" yWindow="-120" windowWidth="29040" windowHeight="15720" tabRatio="580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8" i="1" a="1"/>
  <c r="B8" i="1" s="1"/>
  <c r="I2" i="1" a="1"/>
  <c r="I2" i="1" s="1"/>
  <c r="I9" i="1" s="1"/>
  <c r="I3" i="1" a="1"/>
  <c r="I3" i="1" s="1"/>
  <c r="I4" i="1" a="1"/>
  <c r="I4" i="1" s="1"/>
  <c r="I5" i="1" a="1"/>
  <c r="I5" i="1" s="1"/>
  <c r="I6" i="1" a="1"/>
  <c r="I6" i="1" s="1"/>
  <c r="J6" i="1" s="1"/>
  <c r="I7" i="1" a="1"/>
  <c r="I7" i="1" s="1"/>
  <c r="I8" i="1" a="1"/>
  <c r="I8" i="1" s="1"/>
  <c r="J18" i="1"/>
  <c r="E18" i="1"/>
  <c r="D18" i="1"/>
  <c r="G2" i="1"/>
  <c r="G9" i="1" s="1"/>
  <c r="G3" i="1"/>
  <c r="G4" i="1"/>
  <c r="G5" i="1"/>
  <c r="G6" i="1"/>
  <c r="G7" i="1"/>
  <c r="G8" i="1"/>
  <c r="K2" i="1"/>
  <c r="K9" i="1" s="1"/>
  <c r="K3" i="1"/>
  <c r="K4" i="1"/>
  <c r="K5" i="1"/>
  <c r="K6" i="1"/>
  <c r="K7" i="1"/>
  <c r="K8" i="1"/>
  <c r="E2" i="1"/>
  <c r="E9" i="1" s="1"/>
  <c r="E3" i="1"/>
  <c r="E4" i="1"/>
  <c r="E5" i="1"/>
  <c r="E6" i="1"/>
  <c r="E7" i="1"/>
  <c r="E8" i="1"/>
  <c r="B10" i="1" a="1"/>
  <c r="B10" i="1" s="1"/>
  <c r="G10" i="3"/>
  <c r="G8" i="3"/>
  <c r="A6" i="4"/>
  <c r="O18" i="1"/>
  <c r="J7" i="1" l="1"/>
  <c r="J3" i="1"/>
  <c r="J8" i="1"/>
  <c r="J5" i="1"/>
  <c r="J4" i="1"/>
  <c r="J2" i="1"/>
  <c r="J6" i="4"/>
  <c r="H6" i="4"/>
  <c r="D6" i="4"/>
  <c r="F6" i="4"/>
  <c r="J9" i="1" l="1"/>
  <c r="B4" i="1" a="1"/>
  <c r="B4" i="1" s="1"/>
  <c r="B7" i="1"/>
  <c r="B9" i="1" a="1"/>
  <c r="B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<sst xmlns="http://schemas.openxmlformats.org/spreadsheetml/2006/main" count="144" uniqueCount="120">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</sst>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</cellXfs>
  <cellStyles count="1">
    <cellStyle name="Normal" xfId="0" builtinId="0"/>
  </cellStyles>
  <dxfs count="62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1"/>
    <tableColumn id="10" xr3:uid="{C254CAED-99FB-472A-8694-6B4E59FE47F3}" name="Evaluation Asset" dataDxfId="60"/>
    <tableColumn id="1" xr3:uid="{355CDFDF-675F-4DEC-817C-17FC7CFE7487}" name="Activity Start Date" dataDxfId="59"/>
    <tableColumn id="5" xr3:uid="{67155EC9-1196-4F2D-9401-88B27FBBDCC3}" name="Maker Fee" dataDxfId="58"/>
    <tableColumn id="6" xr3:uid="{262113F3-B82B-46FE-B8FD-5B4323E6DC2B}" name="Taker Fee" dataDxfId="57"/>
    <tableColumn id="7" xr3:uid="{21D2A591-ACD5-449F-94D3-3EB328F88B9F}" name="Buyer Fee" dataDxfId="56"/>
    <tableColumn id="8" xr3:uid="{718F0E26-0FF9-4BBB-BA98-18E85B0B8DA2}" name="Seller Fee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4" totalsRowDxfId="53">
      <calculatedColumnFormula>Wallet[[#This Row],[Static Amount]]+Wallet[[#This Row],[Dynamic Amount]]</calculatedColumnFormula>
    </tableColumn>
    <tableColumn id="4" xr3:uid="{6BD03EB5-C572-4866-BCD8-662B93F69C6B}" name="Total Cost" totalsRowFunction="sum" dataDxfId="52" totalsRowDxfId="51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0" totalsRowDxfId="49"/>
    <tableColumn id="5" xr3:uid="{7D6BA41C-60AE-4FDF-A8ED-199FDF3084F4}" name="Spot Cost" totalsRowFunction="sum" dataDxfId="48" totalsRowDxfId="47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6" totalsRowDxfId="45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4" totalsRowDxfId="43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2" totalsRowDxfId="41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0"/>
    <tableColumn id="3" xr3:uid="{496F3DEA-85DD-4658-83B5-F0A38E13C814}" name="Transfers" dataDxfId="39"/>
    <tableColumn id="4" xr3:uid="{976B3AB6-32BC-4903-964B-D6306327EC3A}" name="Conversions" dataDxfId="38"/>
    <tableColumn id="5" xr3:uid="{30F60354-2A73-4BDE-8A3A-97599788FD0F}" name="Dust Log" dataDxfId="37"/>
    <tableColumn id="6" xr3:uid="{77D4C728-BBEA-4F52-B500-2FF17985ECA9}" name="Fiat Buys" dataDxfId="36"/>
    <tableColumn id="7" xr3:uid="{7AF7CAFE-256D-440A-9E46-0E0E62EDA58D}" name="Fiat Sells" dataDxfId="35"/>
    <tableColumn id="8" xr3:uid="{393A80E1-A845-4DCA-A6DB-5A7ECE9427BE}" name="Fiat Deposits" dataDxfId="34"/>
    <tableColumn id="9" xr3:uid="{24B88B35-3E3C-49DB-B738-AF5F80E0BE3E}" name="Fiat Withdraws" dataDxfId="33"/>
    <tableColumn id="10" xr3:uid="{2C4C24B5-7E14-4A96-9AF2-07CD957A4F40}" name="Crypto Deposits" dataDxfId="32"/>
    <tableColumn id="11" xr3:uid="{AE6480AE-7BCC-466E-91F5-C3695832F768}" name="Crypto Withdraws" dataDxfId="31"/>
    <tableColumn id="12" xr3:uid="{BF0CAAF2-8228-4C83-9AFF-0BA2895994DD}" name="Distributions" dataDxfId="30"/>
    <tableColumn id="13" xr3:uid="{5AEF5894-F0F1-4E77-8B5D-C6BB2EAFBA9A}" name="Flexible Earns" dataDxfId="29"/>
    <tableColumn id="14" xr3:uid="{4F04E910-29EC-43FA-ADF2-7C9081584FCC}" name="Locked Earns" dataDxfId="28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7"/>
    <tableColumn id="7" xr3:uid="{641916A7-AD5A-4304-80BD-D8AAED6FCBC0}" name="Use for Evaluation" dataDxfId="26"/>
    <tableColumn id="65" xr3:uid="{1359C594-DA3A-4FC2-B7FC-DD8A47C9AAA0}" name="Markets" dataDxfId="25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A1:K2" insertRow="1" totalsRowShown="0">
  <autoFilter ref="A1:K2" xr:uid="{B067E519-38EF-47E3-B766-327C573FAEE7}"/>
  <sortState xmlns:xlrd2="http://schemas.microsoft.com/office/spreadsheetml/2017/richdata2" ref="A2:K2">
    <sortCondition ref="A2"/>
  </sortState>
  <tableColumns count="11">
    <tableColumn id="1" xr3:uid="{C5652673-C5A6-4AFB-A611-D2DC6E99F37E}" name="Stamp" dataDxfId="24"/>
    <tableColumn id="2" xr3:uid="{0F1AC480-D7B7-4F2E-BA02-2230B5B325A1}" name="Applied" dataDxfId="23"/>
    <tableColumn id="3" xr3:uid="{9BBE3EE2-F501-41FB-847D-C25F2C5098C2}" name="Conversion ID" dataDxfId="22"/>
    <tableColumn id="4" xr3:uid="{DAADDE0C-3AD0-4A03-9C16-C4F26D559DA1}" name="From Asset"/>
    <tableColumn id="5" xr3:uid="{39B97D4B-0C82-4F21-B9E1-AB41C5B9D131}" name="From Amount" dataDxfId="21"/>
    <tableColumn id="6" xr3:uid="{C2462DD8-88C1-4B61-B643-79DFD479B9C6}" name="Spot Wallet" dataDxfId="20"/>
    <tableColumn id="7" xr3:uid="{542DB8DD-BDED-4361-A83D-CDEB41F78E11}" name="Funding Wallet" dataDxfId="19"/>
    <tableColumn id="8" xr3:uid="{8F09C69A-0857-4691-8A8E-5E5E530E1174}" name="Earn Wallet" dataDxfId="18"/>
    <tableColumn id="9" xr3:uid="{ACF39040-97FA-4527-A0E9-EEADF10EA789}" name="Is Valid" dataDxfId="17">
      <calculatedColumnFormula>SUM(Conversions[[#This Row],[Spot Wallet]:[Earn Wallet]])=Conversions[[#This Row],[From Amount]]</calculatedColumnFormula>
    </tableColumn>
    <tableColumn id="12" xr3:uid="{DA89DFA5-9F2A-4913-8F90-F9772FF286A6}" name="To Asset" dataDxfId="16"/>
    <tableColumn id="11" xr3:uid="{F4567656-CAE8-4928-85B1-736BEBE5A197}" name="To Amount" dataDxfId="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M1:T2" insertRow="1" totalsRowShown="0">
  <autoFilter ref="M1:T2" xr:uid="{7A016EAE-CE7C-4C20-9651-50D3D8A0E41C}"/>
  <tableColumns count="8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9" totalsRowCount="1">
  <autoFilter ref="D1:L8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workbookViewId="0">
      <pane ySplit="4" topLeftCell="A5" activePane="bottomLeft" state="frozen"/>
      <selection pane="bottomLeft" activeCell="A12" sqref="A1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115</v>
      </c>
      <c r="L1" t="s">
        <v>116</v>
      </c>
      <c r="M1" t="s">
        <v>107</v>
      </c>
      <c r="N1" t="s">
        <v>108</v>
      </c>
      <c r="O1" t="s">
        <v>109</v>
      </c>
      <c r="P1" t="s">
        <v>110</v>
      </c>
      <c r="Q1" t="s">
        <v>111</v>
      </c>
      <c r="R1" t="s">
        <v>112</v>
      </c>
      <c r="S1" t="s">
        <v>113</v>
      </c>
      <c r="T1" t="s">
        <v>114</v>
      </c>
      <c r="U1" t="s">
        <v>117</v>
      </c>
      <c r="V1" t="s">
        <v>118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86</v>
      </c>
      <c r="D4" t="s">
        <v>87</v>
      </c>
      <c r="E4" t="s">
        <v>80</v>
      </c>
      <c r="F4" t="s">
        <v>83</v>
      </c>
      <c r="G4" t="s">
        <v>81</v>
      </c>
      <c r="H4" t="s">
        <v>84</v>
      </c>
      <c r="I4" t="s">
        <v>82</v>
      </c>
      <c r="J4" t="s">
        <v>85</v>
      </c>
      <c r="K4" t="s">
        <v>94</v>
      </c>
      <c r="L4" t="s">
        <v>95</v>
      </c>
      <c r="M4" t="s">
        <v>96</v>
      </c>
      <c r="N4" t="s">
        <v>97</v>
      </c>
      <c r="O4" t="s">
        <v>88</v>
      </c>
    </row>
    <row r="6" spans="1:22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12" sqref="A1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99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93</v>
      </c>
      <c r="G4" t="s">
        <v>37</v>
      </c>
      <c r="H4" t="s">
        <v>52</v>
      </c>
      <c r="I4" t="s">
        <v>53</v>
      </c>
      <c r="J4" t="s">
        <v>106</v>
      </c>
    </row>
    <row r="5" spans="1:11" x14ac:dyDescent="0.2">
      <c r="A5" t="s">
        <v>1</v>
      </c>
      <c r="B5" t="s">
        <v>102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103</v>
      </c>
      <c r="C7" t="s">
        <v>101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104</v>
      </c>
      <c r="C8" t="s">
        <v>101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105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T2"/>
  <sheetViews>
    <sheetView workbookViewId="0">
      <pane ySplit="1" topLeftCell="A2" activePane="bottomLeft" state="frozen"/>
      <selection pane="bottomLeft" activeCell="A12" sqref="A1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3.28515625" bestFit="1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20" x14ac:dyDescent="0.2">
      <c r="A1" t="s">
        <v>55</v>
      </c>
      <c r="B1" t="s">
        <v>68</v>
      </c>
      <c r="C1" t="s">
        <v>119</v>
      </c>
      <c r="D1" t="s">
        <v>72</v>
      </c>
      <c r="E1" t="s">
        <v>70</v>
      </c>
      <c r="F1" t="s">
        <v>65</v>
      </c>
      <c r="G1" t="s">
        <v>66</v>
      </c>
      <c r="H1" t="s">
        <v>67</v>
      </c>
      <c r="I1" t="s">
        <v>69</v>
      </c>
      <c r="J1" t="s">
        <v>73</v>
      </c>
      <c r="K1" t="s">
        <v>71</v>
      </c>
      <c r="M1" t="s">
        <v>55</v>
      </c>
      <c r="N1" t="s">
        <v>68</v>
      </c>
      <c r="O1" t="s">
        <v>78</v>
      </c>
      <c r="P1" t="s">
        <v>7</v>
      </c>
      <c r="Q1" t="s">
        <v>74</v>
      </c>
      <c r="R1" t="s">
        <v>75</v>
      </c>
      <c r="S1" t="s">
        <v>76</v>
      </c>
      <c r="T1" t="s">
        <v>77</v>
      </c>
    </row>
    <row r="2" spans="1:20" x14ac:dyDescent="0.2">
      <c r="A2" s="10"/>
      <c r="B2" s="5"/>
      <c r="E2" s="12"/>
      <c r="F2" s="12"/>
      <c r="G2" s="12"/>
      <c r="H2" s="12"/>
      <c r="I2" s="5"/>
      <c r="K2" s="13"/>
      <c r="M2" s="10"/>
      <c r="N2" s="5"/>
    </row>
  </sheetData>
  <phoneticPr fontId="1" type="noConversion"/>
  <dataValidations count="1">
    <dataValidation type="list" allowBlank="1" showInputMessage="1" showErrorMessage="1" sqref="P2" xr:uid="{8FDC71A3-3930-4463-8BF7-600BC77066F2}">
      <formula1>"BNB,BTC,ETH,USDT,USDC"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abSelected="1" zoomScaleNormal="100" workbookViewId="0">
      <pane ySplit="16" topLeftCell="A17" activePane="bottomLeft" state="frozen"/>
      <selection pane="bottomLeft" activeCell="A20" sqref="A2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90</v>
      </c>
      <c r="I1" t="s">
        <v>29</v>
      </c>
      <c r="J1" t="s">
        <v>27</v>
      </c>
      <c r="K1" t="s">
        <v>10</v>
      </c>
      <c r="L1" t="s">
        <v>92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91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98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89</v>
      </c>
      <c r="B9" t="e" cm="1">
        <f t="array" ref="B9">Summary[[#Totals],[Balance]]-INDEX(Wallet[Static Amount], MATCH(Markets[Ticker],Wallet[Ticker],0))</f>
        <v>#N/A</v>
      </c>
      <c r="D9" t="s">
        <v>28</v>
      </c>
      <c r="E9">
        <f>SUBTOTAL(109,Summary[Acquired])</f>
        <v>0</v>
      </c>
      <c r="G9">
        <f>SUBTOTAL(109,Summary[Spent])</f>
        <v>0</v>
      </c>
      <c r="I9">
        <f>SUBTOTAL(109,Summary[Charge])</f>
        <v>0</v>
      </c>
      <c r="J9">
        <f>SUBTOTAL(109,Summary[Balance])</f>
        <v>0</v>
      </c>
      <c r="K9">
        <f>SUBTOTAL(109,Summary[BNB fees])</f>
        <v>0</v>
      </c>
    </row>
    <row r="10" spans="1:15" ht="12.75" customHeight="1" x14ac:dyDescent="0.2">
      <c r="A10" t="s">
        <v>56</v>
      </c>
      <c r="B10" s="11" cm="1">
        <f t="array" ref="B10">UserInfo[Activity Start Date]</f>
        <v>45809</v>
      </c>
    </row>
    <row r="13" spans="1:15" ht="12.75" customHeight="1" x14ac:dyDescent="0.2">
      <c r="A13" t="s">
        <v>7</v>
      </c>
      <c r="B13" t="s">
        <v>100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79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2025-10-02T00:06:16Z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