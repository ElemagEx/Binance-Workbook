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DF5D148B-15F7-4E3B-8628-682CF371D781}" xr6:coauthVersionLast="47" xr6:coauthVersionMax="47" xr10:uidLastSave="{00000000-0000-0000-0000-000000000000}"/>
  <bookViews>
    <workbookView xWindow="-120" yWindow="-120" windowWidth="29040" windowHeight="15720" tabRatio="614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'Currencies'!$A$1:$A$7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Misc!$D$4:$K$4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Q2" i="1"/>
  <c r="Q3" i="1"/>
  <c r="Q4" i="1"/>
  <c r="Q5" i="1"/>
  <c r="Q6" i="1"/>
  <c r="Q7" i="1"/>
  <c r="B5" i="1" a="1"/>
  <c r="B5" i="1" s="1"/>
  <c r="N16" i="1"/>
  <c r="M16" i="1"/>
  <c r="L16" i="1"/>
  <c r="P8" i="1"/>
  <c r="P2" i="1"/>
  <c r="P3" i="1"/>
  <c r="P4" i="1"/>
  <c r="P5" i="1"/>
  <c r="P6" i="1"/>
  <c r="P7" i="1"/>
  <c r="O8" i="1"/>
  <c r="O2" i="1"/>
  <c r="O3" i="1"/>
  <c r="O4" i="1"/>
  <c r="O5" i="1"/>
  <c r="O6" i="1"/>
  <c r="O7" i="1"/>
  <c r="N2" i="1"/>
  <c r="N3" i="1"/>
  <c r="N4" i="1"/>
  <c r="N5" i="1"/>
  <c r="N6" i="1"/>
  <c r="N7" i="1"/>
  <c r="B11" i="1" a="1"/>
  <c r="B11" i="1" s="1"/>
  <c r="M2" i="1"/>
  <c r="R2" i="1" s="1"/>
  <c r="M3" i="1"/>
  <c r="M4" i="1"/>
  <c r="R4" i="1" s="1"/>
  <c r="M5" i="1"/>
  <c r="M6" i="1"/>
  <c r="R6" i="1" s="1"/>
  <c r="M7" i="1"/>
  <c r="L2" i="1"/>
  <c r="L3" i="1"/>
  <c r="L4" i="1"/>
  <c r="L5" i="1"/>
  <c r="L6" i="1"/>
  <c r="L7" i="1"/>
  <c r="K7" i="27"/>
  <c r="J7" i="27"/>
  <c r="I7" i="27"/>
  <c r="H7" i="27"/>
  <c r="G7" i="27"/>
  <c r="F7" i="27"/>
  <c r="E7" i="27"/>
  <c r="D7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K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A6" i="4"/>
  <c r="P16" i="1"/>
  <c r="R3" i="1" l="1"/>
  <c r="R5" i="1"/>
  <c r="R7" i="1"/>
  <c r="Q8" i="1"/>
  <c r="N8" i="1"/>
  <c r="L8" i="1"/>
  <c r="M8" i="1"/>
  <c r="L6" i="4"/>
  <c r="I8" i="1"/>
  <c r="K8" i="1"/>
  <c r="E8" i="1"/>
  <c r="G8" i="1"/>
  <c r="J5" i="1"/>
  <c r="J6" i="1"/>
  <c r="J3" i="1"/>
  <c r="J7" i="1"/>
  <c r="J4" i="1"/>
  <c r="J2" i="1"/>
  <c r="J6" i="4"/>
  <c r="H6" i="4"/>
  <c r="D6" i="4"/>
  <c r="F6" i="4"/>
  <c r="R8" i="1" l="1"/>
  <c r="J8" i="1"/>
  <c r="B10" i="1" l="1" a="1"/>
  <c r="B10" i="1" s="1"/>
  <c r="B6" i="1" a="1"/>
  <c r="B6" i="1" s="1"/>
  <c r="B8" i="1"/>
  <c r="B7" i="1" a="1"/>
  <c r="B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<sst xmlns="http://schemas.openxmlformats.org/spreadsheetml/2006/main" count="182" uniqueCount="135">
  <si>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</si>
  <si>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</si>
  <si>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</si>
  <si>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</si>
  <si>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</si>
  <si>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</si>
  <si>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</si>
  <si>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</si>
  <si>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</si>
  <si>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</si>
  <si>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</si>
  <si>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</si>
  <si>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</si>
  <si>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</si>
  <si>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</si>
  <si>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</si>
  <si>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</si>
  <si>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</si>
  <si>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</si>
  <si>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</si>
  <si>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</si>
  <si>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</si>
  <si>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</si>
  <si>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</si>
  <si>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</si>
  <si>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</si>
  <si>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</si>
  <si>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</si>
  <si>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</si>
  <si>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</si>
  <si>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</si>
  <si>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</si>
  <si>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</si>
  <si>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</si>
  <si>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</si>
  <si>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</si>
  <si>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</si>
  <si>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</si>
  <si>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</si>
  <si>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</si>
  <si>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</si>
  <si>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</si>
  <si>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</si>
  <si>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</si>
  <si>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</si>
  <si>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</si>
  <si>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</si>
  <si>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</si>
  <si>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</si>
  <si>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</si>
  <si>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</si>
  <si>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</si>
  <si>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Stamp</t>
  </si>
  <si>
    <t>Activity Start Date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</si>
  <si>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</si>
  <si>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</si>
  <si>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</si>
  <si>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</si>
  <si>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</si>
  <si>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</si>
  <si>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</si>
  <si>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</si>
  <si>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</si>
  <si>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</si>
  <si>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</si>
  <si>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</si>
  <si>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</si>
  <si>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</si>
  <si>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</si>
  <si>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</si>
  <si>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</si>
  <si>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</si>
  <si>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</si>
  <si>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</si>
  <si>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</si>
  <si>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</si>
  <si>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</si>
  <si>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</si>
  <si>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</si>
  <si>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</si>
  <si>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</si>
  <si>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</si>
  <si>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Precision</t>
  </si>
  <si>
    <t>Dynamic Amount</t>
  </si>
  <si>
    <t>Dynamic Cost</t>
  </si>
  <si>
    <t>Dynamic</t>
  </si>
  <si>
    <t>Exchange Timezone</t>
  </si>
  <si>
    <t>Observed</t>
  </si>
  <si>
    <t>Fiat</t>
  </si>
  <si>
    <t>Bitcoin</t>
  </si>
  <si>
    <t>Euro</t>
  </si>
  <si>
    <t>US Dollar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</si>
  <si>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</si>
  <si>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</si>
  <si>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</si>
  <si>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</si>
  <si>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</si>
  <si>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</si>
  <si>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</si>
  <si>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</si>
  <si>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</si>
  <si>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Conversions</t>
  </si>
  <si>
    <t>Flexible Earns</t>
  </si>
  <si>
    <t>Locked Earns</t>
  </si>
  <si>
    <t>Conversion ID</t>
  </si>
  <si>
    <t>Transaction ID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</si>
  <si>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</si>
  <si>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</si>
  <si>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</si>
  <si>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</si>
  <si>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</si>
  <si>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</si>
  <si>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</si>
  <si>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</si>
  <si>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</si>
  <si>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</si>
  <si>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</si>
  <si>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</si>
  <si>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</si>
  <si>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</si>
  <si>
    <t>Avg Acquire Cost</t>
  </si>
  <si>
    <t>Avg Spend Cost</t>
  </si>
  <si>
    <t>Assets Last Update</t>
  </si>
  <si>
    <t>Trades</t>
  </si>
  <si>
    <t>Group</t>
  </si>
  <si>
    <t>Avg Acquire Price</t>
  </si>
  <si>
    <t>Avg Spend Price</t>
  </si>
  <si>
    <t>Wallet Transfers</t>
  </si>
  <si>
    <t>Last Update Time</t>
  </si>
  <si>
    <t>Invested</t>
  </si>
  <si>
    <t>Commission</t>
  </si>
  <si>
    <t>Unrealized L/P</t>
  </si>
  <si>
    <t>1 day</t>
  </si>
  <si>
    <t>Klines Interval</t>
  </si>
  <si>
    <t>TetherUS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</si>
</sst>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01"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font>
        <color rgb="FFFF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171" formatCode="yyyy\-mm\-dd\ hh:mm:ss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H2" totalsRowShown="0">
  <autoFilter ref="A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9" xr3:uid="{305E2AF0-89F6-409D-9435-A14454E133F4}" name="UID" dataDxfId="100"/>
    <tableColumn id="10" xr3:uid="{C254CAED-99FB-472A-8694-6B4E59FE47F3}" name="Quote" dataDxfId="99"/>
    <tableColumn id="4" xr3:uid="{A1469DAB-496F-484E-85ED-93F41F1EEFFB}" name="Assets Last Update" dataDxfId="98"/>
    <tableColumn id="5" xr3:uid="{67155EC9-1196-4F2D-9401-88B27FBBDCC3}" name="Activity Start Date" dataDxfId="97"/>
    <tableColumn id="6" xr3:uid="{262113F3-B82B-46FE-B8FD-5B4323E6DC2B}" name="Maker Fee" dataDxfId="96"/>
    <tableColumn id="7" xr3:uid="{21D2A591-ACD5-449F-94D3-3EB328F88B9F}" name="Taker Fee" dataDxfId="95"/>
    <tableColumn id="8" xr3:uid="{718F0E26-0FF9-4BBB-BA98-18E85B0B8DA2}" name="Buyer Fee" dataDxfId="94"/>
    <tableColumn id="2" xr3:uid="{EB175784-AFA4-469D-AC4D-C1032711F555}" name="Seller Fee" dataDxfId="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 headerRowDxfId="92" dataDxfId="91" totalsRowDxfId="90">
  <autoFilter ref="A4:O5" xr:uid="{85115445-9952-4A52-9DBF-4AA7DEA24FF6}"/>
  <tableColumns count="15">
    <tableColumn id="2" xr3:uid="{FDF60DEB-7927-4B56-A36C-868C246945B9}" name="Ticker" totalsRowFunction="count" dataDxfId="89"/>
    <tableColumn id="15" xr3:uid="{3978548E-6253-41DF-BA59-AA3718880C62}" name="Price" dataDxfId="88" totalsRowDxfId="8"/>
    <tableColumn id="3" xr3:uid="{89968980-2315-475B-A06C-19BC51CDE092}" name="Total Amount" dataDxfId="22">
      <calculatedColumnFormula>SUM(Assets[[#This Row],[Spot Amount]],Assets[[#This Row],[Funding Amount]],Assets[[#This Row],[Earn Amount]],Assets[[#This Row],[Dynamic Amount]])</calculatedColumnFormula>
    </tableColumn>
    <tableColumn id="4" xr3:uid="{6BD03EB5-C572-4866-BCD8-662B93F69C6B}" name="Total Cost" totalsRowFunction="sum" dataDxfId="21" totalsRowDxfId="7">
      <calculatedColumnFormula>SUM(Assets[[#This Row],[Spot Cost]],Assets[[#This Row],[Funding Cost]],Assets[[#This Row],[Earn Cost]],Assets[[#This Row],[Dynamic Cost]])</calculatedColumnFormula>
    </tableColumn>
    <tableColumn id="7" xr3:uid="{ADB4BBC5-7655-43CE-9F92-633B7CAA84FC}" name="Spot Amount" dataDxfId="20"/>
    <tableColumn id="5" xr3:uid="{7D6BA41C-60AE-4FDF-A8ED-199FDF3084F4}" name="Spot Cost" totalsRowFunction="sum" dataDxfId="19" totalsRowDxfId="6"/>
    <tableColumn id="6" xr3:uid="{7A7571B9-8EC3-4D72-A88D-3E2304A30231}" name="Funding Amount" dataDxfId="18"/>
    <tableColumn id="11" xr3:uid="{6AA452C6-80E7-4FB9-8211-C7FF251AABA8}" name="Funding Cost" totalsRowFunction="sum" dataDxfId="17" totalsRowDxfId="5"/>
    <tableColumn id="14" xr3:uid="{C27555ED-A184-4ED5-9D38-365A2ABB9AE2}" name="Earn Amount" dataDxfId="16"/>
    <tableColumn id="12" xr3:uid="{7B881B25-9DC5-43A9-B7E2-C426A490136A}" name="Earn Cost" totalsRowFunction="sum" dataDxfId="15" totalsRowDxfId="4"/>
    <tableColumn id="8" xr3:uid="{ED427027-7453-4B62-9F2A-C56EE5D72349}" name="Dynamic Amount" dataDxfId="14"/>
    <tableColumn id="13" xr3:uid="{6DAAB8AF-1E72-48C4-A499-4897732500D2}" name="Dynamic Cost" totalsRowFunction="sum" dataDxfId="13" totalsRowDxfId="3"/>
    <tableColumn id="1" xr3:uid="{FCA75428-21C8-49ED-BEDD-C81E9C1D8EA0}" name="Deviation" dataDxfId="12" totalsRowDxfId="2"/>
    <tableColumn id="9" xr3:uid="{F775EE91-B2A2-4032-A4F2-E85BEA6255E2}" name="Avg Acquire Cost" dataDxfId="11" totalsRowDxfId="1"/>
    <tableColumn id="10" xr3:uid="{06A94B2E-1277-457D-B4C9-671D79192781}" name="Avg Spend Cost" dataDxfId="10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1:I7" totalsRowShown="0">
  <autoFilter ref="A1:I7" xr:uid="{90AAC5E2-77F7-4EAD-B980-99862E98D4E4}"/>
  <tableColumns count="9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87"/>
    <tableColumn id="65" xr3:uid="{1359C594-DA3A-4FC2-B7FC-DD8A47C9AAA0}" name="Markets" dataDxfId="23">
      <calculatedColumnFormula>0</calculatedColumnFormula>
    </tableColumn>
    <tableColumn id="5" xr3:uid="{CF4E07CF-B6D5-4F72-853E-906BCE61CD38}" name="Trades" dataDxfId="8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9:M10" insertRow="1" totalsRowShown="0">
  <autoFilter ref="C9:M10" xr:uid="{B067E519-38EF-47E3-B766-327C573FAEE7}"/>
  <sortState xmlns:xlrd2="http://schemas.microsoft.com/office/spreadsheetml/2017/richdata2" ref="C10:M10">
    <sortCondition ref="C10"/>
  </sortState>
  <tableColumns count="11">
    <tableColumn id="1" xr3:uid="{C5652673-C5A6-4AFB-A611-D2DC6E99F37E}" name="Stamp" dataDxfId="85"/>
    <tableColumn id="2" xr3:uid="{0F1AC480-D7B7-4F2E-BA02-2230B5B325A1}" name="Applied" dataDxfId="84"/>
    <tableColumn id="3" xr3:uid="{9BBE3EE2-F501-41FB-847D-C25F2C5098C2}" name="Conversion ID" dataDxfId="83"/>
    <tableColumn id="4" xr3:uid="{DAADDE0C-3AD0-4A03-9C16-C4F26D559DA1}" name="From Asset"/>
    <tableColumn id="5" xr3:uid="{39B97D4B-0C82-4F21-B9E1-AB41C5B9D131}" name="From Amount" dataDxfId="82"/>
    <tableColumn id="6" xr3:uid="{C2462DD8-88C1-4B61-B643-79DFD479B9C6}" name="Spot Wallet" dataDxfId="81"/>
    <tableColumn id="7" xr3:uid="{542DB8DD-BDED-4361-A83D-CDEB41F78E11}" name="Funding Wallet" dataDxfId="80"/>
    <tableColumn id="8" xr3:uid="{8F09C69A-0857-4691-8A8E-5E5E530E1174}" name="Earn Wallet" dataDxfId="79"/>
    <tableColumn id="9" xr3:uid="{ACF39040-97FA-4527-A0E9-EEADF10EA789}" name="Is Valid" dataDxfId="78">
      <calculatedColumnFormula>(Conversions[[#This Row],[From Amount]]=SUM(Conversions[[#This Row],[Spot Wallet]]:Conversions[[#This Row],[Earn Wallet]]))</calculatedColumnFormula>
    </tableColumn>
    <tableColumn id="12" xr3:uid="{DA89DFA5-9F2A-4913-8F90-F9772FF286A6}" name="To Asset" dataDxfId="77"/>
    <tableColumn id="11" xr3:uid="{F4567656-CAE8-4928-85B1-736BEBE5A197}" name="To Amount" dataDxfId="7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9:V10" insertRow="1" totalsRowShown="0">
  <autoFilter ref="O9:V10" xr:uid="{7A016EAE-CE7C-4C20-9651-50D3D8A0E41C}"/>
  <sortState xmlns:xlrd2="http://schemas.microsoft.com/office/spreadsheetml/2017/richdata2" ref="O10:V10">
    <sortCondition ref="O10"/>
  </sortState>
  <tableColumns count="8">
    <tableColumn id="1" xr3:uid="{3033F95D-78D6-4DCC-8CAF-28F566221EAA}" name="Stamp" dataDxfId="75"/>
    <tableColumn id="2" xr3:uid="{A6536661-3405-4582-951F-A6A14504D084}" name="Applied" dataDxfId="74"/>
    <tableColumn id="3" xr3:uid="{C79C3939-2F7D-45DF-9C6A-D1801FB8E863}" name="Transaction ID" dataDxfId="73"/>
    <tableColumn id="4" xr3:uid="{D164491F-1DF0-445B-8289-CF28D6FA38B6}" name="Ticker"/>
    <tableColumn id="5" xr3:uid="{411425D9-43F6-40DF-AEA0-FF73055F5917}" name="Coin 1" dataDxfId="72"/>
    <tableColumn id="6" xr3:uid="{F516F051-5B89-4C3A-BD8A-548168707ECF}" name="Amount 1" dataDxfId="71"/>
    <tableColumn id="7" xr3:uid="{A2447165-E087-4636-9FD4-900058244811}" name="Charge 1" dataDxfId="70"/>
    <tableColumn id="8" xr3:uid="{C6364AAF-0A30-463E-8BB8-B76149123486}" name="Volume 1" dataDxfId="6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4:K7" totalsRowShown="0">
  <autoFilter ref="C4:K7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6:A7" totalsRowShown="0">
  <autoFilter ref="A6:A7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9:A15" totalsRowShown="0">
  <autoFilter ref="A9:A15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4:A5" totalsRowShown="0">
  <autoFilter ref="A4:A5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A1:A2" totalsRowShown="0">
  <autoFilter ref="A1:A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C1:O2" totalsRowShown="0">
  <autoFilter ref="C1:O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8A74284-C84E-4C50-989F-1DEE5A4F7D50}" name="Operation" dataDxfId="68"/>
    <tableColumn id="3" xr3:uid="{496F3DEA-85DD-4658-83B5-F0A38E13C814}" name="Wallet Transfers" dataDxfId="67"/>
    <tableColumn id="4" xr3:uid="{976B3AB6-32BC-4903-964B-D6306327EC3A}" name="Conversions" dataDxfId="66"/>
    <tableColumn id="5" xr3:uid="{30F60354-2A73-4BDE-8A3A-97599788FD0F}" name="Dust Log" dataDxfId="65"/>
    <tableColumn id="6" xr3:uid="{77D4C728-BBEA-4F52-B500-2FF17985ECA9}" name="Fiat Buys" dataDxfId="64"/>
    <tableColumn id="7" xr3:uid="{7AF7CAFE-256D-440A-9E46-0E0E62EDA58D}" name="Fiat Sells" dataDxfId="63"/>
    <tableColumn id="8" xr3:uid="{393A80E1-A845-4DCA-A6DB-5A7ECE9427BE}" name="Fiat Deposits" dataDxfId="62"/>
    <tableColumn id="9" xr3:uid="{24B88B35-3E3C-49DB-B738-AF5F80E0BE3E}" name="Fiat Withdraws" dataDxfId="61"/>
    <tableColumn id="10" xr3:uid="{2C4C24B5-7E14-4A96-9AF2-07CD957A4F40}" name="Crypto Deposits" dataDxfId="60"/>
    <tableColumn id="11" xr3:uid="{AE6480AE-7BCC-466E-91F5-C3695832F768}" name="Crypto Withdraws" dataDxfId="59"/>
    <tableColumn id="12" xr3:uid="{BF0CAAF2-8228-4C83-9AFF-0BA2895994DD}" name="Distributions" dataDxfId="58"/>
    <tableColumn id="13" xr3:uid="{5AEF5894-F0F1-4E77-8B5D-C6BB2EAFBA9A}" name="Flexible Earns" dataDxfId="57"/>
    <tableColumn id="14" xr3:uid="{4F04E910-29EC-43FA-ADF2-7C9081584FCC}" name="Locked Earns" dataDxfId="56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P16" totalsRowCount="1">
  <autoFilter ref="A14:P15" xr:uid="{F3CBD49D-CB72-4E7C-9984-E5F18B705DA6}"/>
  <tableColumns count="16">
    <tableColumn id="1" xr3:uid="{D7E5DBD9-E8EF-469B-BEDF-153523AAF4A3}" name="Stamp" dataDxfId="55"/>
    <tableColumn id="2" xr3:uid="{A1169244-DC3E-40D8-A647-316DD8DB603A}" name="Wallet" dataDxfId="54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 dataDxfId="53"/>
    <tableColumn id="8" xr3:uid="{308DF9C8-C4AB-4296-8173-0028ADEA09AD}" name="Amount"/>
    <tableColumn id="14" xr3:uid="{E8FE8BB1-D6E6-494C-8556-F47CE55E3795}" name="Charge" dataDxfId="52" totalsRowDxfId="51"/>
    <tableColumn id="10" xr3:uid="{5344C533-891E-48F5-9DF6-3431598CD530}" name="Group"/>
    <tableColumn id="15" xr3:uid="{F594AC70-DEAB-4FA9-AEA3-AAD0FB8A7AC6}" name="BNB Fee" totalsRowFunction="sum" dataDxfId="50" totalsRowDxfId="49"/>
    <tableColumn id="17" xr3:uid="{A29694B8-2556-4423-9847-1E506E4938F2}" name="Debit" totalsRowFunction="sum"/>
    <tableColumn id="18" xr3:uid="{2EF1E5A0-1B1E-49D6-B0F9-8CE18F4F3A96}" name="Credit" totalsRowFunction="sum"/>
    <tableColumn id="9" xr3:uid="{5F784E54-362E-4E48-84F6-F86FE1CD1259}" name="Commission" totalsRowFunction="sum"/>
    <tableColumn id="11" xr3:uid="{E2C71B5B-A78C-4CFE-BB76-C2A6A50D84CA}" name="Note"/>
    <tableColumn id="13" xr3:uid="{8C31E043-2BA7-426C-A10F-10D677050A0B}" name="ID" totalsRowFunction="count" dataDxfId="48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R8" totalsRowCount="1" headerRowDxfId="47" dataDxfId="46" totalsRowDxfId="45">
  <autoFilter ref="D1:R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D2EF4BB-1451-4236-B25F-6BCBD444E0C0}" name="Activity" totalsRowLabel="Total" dataDxfId="44"/>
    <tableColumn id="2" xr3:uid="{39F2F9AA-68F5-47B9-BAE6-4A02A28891CD}" name="Acquired" totalsRowFunction="sum" dataDxfId="43">
      <calculatedColumnFormula>SUMIF(Details[Operation],Summary[[#This Row],[In Operation]],Details[Acquired])</calculatedColumnFormula>
    </tableColumn>
    <tableColumn id="3" xr3:uid="{7072493C-D629-4203-9F44-166058229523}" name="In Operation" dataDxfId="42"/>
    <tableColumn id="4" xr3:uid="{4A8B8BEF-48C6-4867-BA8A-6AD4067DDBCD}" name="Spent" totalsRowFunction="sum" dataDxfId="41">
      <calculatedColumnFormula>SUMIF(Details[Operation],Summary[[#This Row],[Out Operation]],Details[Spent])</calculatedColumnFormula>
    </tableColumn>
    <tableColumn id="5" xr3:uid="{7D2E40B0-0588-4610-AB72-1D4B444D2898}" name="Out Operation" dataDxfId="40"/>
    <tableColumn id="10" xr3:uid="{FED9212C-6789-44EB-8382-9F8876D367F9}" name="Charge" totalsRowFunction="sum" dataDxfId="39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38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37" totalsRowDxfId="36">
      <calculatedColumnFormula>SUMIF(Details[Operation],Summary[[#This Row],[In Operation]],Details[BNB Fee])+SUMIF(Details[Operation],Summary[[#This Row],[Out Operation]],Details[BNB Fee])</calculatedColumnFormula>
    </tableColumn>
    <tableColumn id="11" xr3:uid="{1AF009A3-F0A9-4377-B5B3-4DAC3173C48A}" name="Debit" totalsRowFunction="sum" dataDxfId="35">
      <calculatedColumnFormula>SUMIF(Details[Operation],Summary[[#This Row],[In Operation]],Details[Debit])</calculatedColumnFormula>
    </tableColumn>
    <tableColumn id="12" xr3:uid="{C707F96C-657C-4BA3-AF70-780024625B32}" name="Credit" totalsRowFunction="sum" dataDxfId="34">
      <calculatedColumnFormula>SUMIF(Details[Operation],Summary[[#This Row],[Out Operation]],Details[Credit])</calculatedColumnFormula>
    </tableColumn>
    <tableColumn id="13" xr3:uid="{155851DE-576A-4953-8D8D-98A6F6BE9301}" name="Commission" totalsRowFunction="sum" dataDxfId="33">
      <calculatedColumnFormula>SUMIF(Details[Operation],Summary[[#This Row],[In Operation]],Details[Commission])+SUMIF(Details[Operation],Summary[[#This Row],[Out Operation]],Details[Commission])</calculatedColumnFormula>
    </tableColumn>
    <tableColumn id="9" xr3:uid="{18BEA1DB-E045-495C-8714-F5D4FF27537F}" name="Avg Acquire Price" totalsRowFunction="custom" dataDxfId="32" totalsRowDxfId="31">
      <calculatedColumnFormula>IFERROR(SUMIFS(Details[Debit],Details[Operation],Summary[[#This Row],[In Operation]],Details[Price],"&lt;&gt;0")/SUMIFS(Details[Acquired],Details[Operation],Summary[[#This Row],[In Operation]]),0)</calculatedColumnFormula>
      <totalsRowFormula>IFERROR(SUMIFS(Details[Debit],Details[Price],"&lt;&gt;0")/SUM(Details[Acquired]),0)</totalsRowFormula>
    </tableColumn>
    <tableColumn id="7" xr3:uid="{B08B7A69-2D3C-4906-8086-39C36B111855}" name="Avg Spend Price" totalsRowFunction="custom" dataDxfId="30" totalsRowDxfId="29">
      <calculatedColumnFormula>IFERROR(SUMIFS(Details[Credit],Details[Operation],Summary[[#This Row],[Out Operation]],Details[Price],"&lt;&gt;0")/SUMIFS(Details[Spent],Details[Operation],Summary[[#This Row],[Out Operation]]),0)</calculatedColumnFormula>
      <totalsRowFormula>IFERROR(SUMIFS(Details[Credit],Details[Price],"&lt;&gt;0")/SUM(Details[Spent]),0)</totalsRowFormula>
    </tableColumn>
    <tableColumn id="14" xr3:uid="{74A080D7-52A8-41FC-A3B0-3169023AAB6F}" name="Invested" totalsRowFunction="sum" dataDxfId="28">
      <calculatedColumnFormula>IF(Summary[[#This Row],[Avg Acquire Price]]=0,0,Summary[[#This Row],[Debit]])-IF(Summary[[#This Row],[Avg Spend Price]]=0,0,Summary[[#This Row],[Credit]])-Summary[[#This Row],[Commission]]</calculatedColumnFormula>
    </tableColumn>
    <tableColumn id="15" xr3:uid="{A45D267C-0EF5-4FDC-A27A-E4BF85A64BEF}" name="Unrealized L/P" totalsRowFunction="sum" dataDxfId="27">
      <calculatedColumnFormula>IF(COUNTIF(Summary[[#This Row],[Debit]]:Summary[[#This Row],[Commission]],0)=3,0,$B$5*Summary[[#This Row],[Balance]]-Summary[[#This Row],[Invested]])</calculatedColumnFormula>
    </tableColumn>
  </tableColumns>
  <tableStyleInfo name="TableStyleMedium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26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25"/>
    <tableColumn id="7" xr3:uid="{07D19152-2558-4F61-878E-9B51E845BDD5}" name="Observed" dataDxfId="2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O6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8" sqref="A8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8.140625" bestFit="1" customWidth="1"/>
    <col min="4" max="4" width="18.140625" customWidth="1"/>
    <col min="5" max="5" width="15" bestFit="1" customWidth="1"/>
    <col min="6" max="6" width="16.42578125" customWidth="1"/>
    <col min="7" max="7" width="18.42578125" bestFit="1" customWidth="1"/>
    <col min="8" max="8" width="15.140625" bestFit="1" customWidth="1"/>
    <col min="9" max="9" width="15" bestFit="1" customWidth="1"/>
    <col min="10" max="10" width="11.85546875" bestFit="1" customWidth="1"/>
    <col min="11" max="11" width="18.85546875" bestFit="1" customWidth="1"/>
    <col min="12" max="12" width="16.28515625" bestFit="1" customWidth="1"/>
    <col min="13" max="13" width="12.5703125" customWidth="1"/>
    <col min="14" max="14" width="18.85546875" bestFit="1" customWidth="1"/>
    <col min="15" max="15" width="17.7109375" bestFit="1" customWidth="1"/>
    <col min="16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15" x14ac:dyDescent="0.2">
      <c r="A1" t="s">
        <v>46</v>
      </c>
      <c r="B1" t="s">
        <v>115</v>
      </c>
      <c r="C1" t="s">
        <v>122</v>
      </c>
      <c r="D1" t="s">
        <v>53</v>
      </c>
      <c r="E1" t="s">
        <v>47</v>
      </c>
      <c r="F1" t="s">
        <v>48</v>
      </c>
      <c r="G1" t="s">
        <v>49</v>
      </c>
      <c r="H1" t="s">
        <v>50</v>
      </c>
    </row>
    <row r="2" spans="1:15" x14ac:dyDescent="0.2">
      <c r="C2" s="10"/>
      <c r="D2" s="11">
        <v>45809</v>
      </c>
      <c r="E2" s="9"/>
      <c r="F2" s="9"/>
      <c r="G2" s="9"/>
      <c r="H2" s="9"/>
    </row>
    <row r="4" spans="1:15" x14ac:dyDescent="0.2">
      <c r="A4" t="s">
        <v>7</v>
      </c>
      <c r="B4" t="s">
        <v>34</v>
      </c>
      <c r="C4" t="s">
        <v>77</v>
      </c>
      <c r="D4" s="16" t="s">
        <v>78</v>
      </c>
      <c r="E4" t="s">
        <v>71</v>
      </c>
      <c r="F4" s="16" t="s">
        <v>74</v>
      </c>
      <c r="G4" t="s">
        <v>72</v>
      </c>
      <c r="H4" s="16" t="s">
        <v>75</v>
      </c>
      <c r="I4" t="s">
        <v>73</v>
      </c>
      <c r="J4" s="16" t="s">
        <v>76</v>
      </c>
      <c r="K4" t="s">
        <v>83</v>
      </c>
      <c r="L4" s="16" t="s">
        <v>84</v>
      </c>
      <c r="M4" t="s">
        <v>79</v>
      </c>
      <c r="N4" s="16" t="s">
        <v>120</v>
      </c>
      <c r="O4" s="16" t="s">
        <v>121</v>
      </c>
    </row>
    <row r="5" spans="1:15" x14ac:dyDescent="0.2">
      <c r="B5" s="13"/>
      <c r="D5" s="16"/>
      <c r="F5" s="16"/>
      <c r="H5" s="16"/>
      <c r="J5" s="16"/>
      <c r="L5" s="16"/>
      <c r="M5" s="13"/>
      <c r="N5" s="16"/>
      <c r="O5" s="16"/>
    </row>
    <row r="6" spans="1:15" x14ac:dyDescent="0.2">
      <c r="A6">
        <f>SUBTOTAL(103,Assets[Ticker])</f>
        <v>0</v>
      </c>
      <c r="B6" s="13"/>
      <c r="D6" s="16">
        <f>SUBTOTAL(109,Assets[Total Cost])</f>
        <v>0</v>
      </c>
      <c r="F6" s="16">
        <f>SUBTOTAL(109,Assets[Spot Cost])</f>
        <v>0</v>
      </c>
      <c r="H6" s="16">
        <f>SUBTOTAL(109,Assets[Funding Cost])</f>
        <v>0</v>
      </c>
      <c r="J6" s="16">
        <f>SUBTOTAL(109,Assets[Earn Cost])</f>
        <v>0</v>
      </c>
      <c r="L6" s="16">
        <f>SUBTOTAL(109,Assets[Dynamic Cost])</f>
        <v>0</v>
      </c>
      <c r="M6" s="13"/>
      <c r="N6" s="16"/>
      <c r="O6" s="16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J7"/>
  <sheetViews>
    <sheetView workbookViewId="0">
      <pane xSplit="1" ySplit="1" topLeftCell="B20" activePane="bottomRight" state="frozen"/>
      <selection pane="topRight" activeCell="B1" sqref="B1"/>
      <selection pane="bottomLeft" activeCell="A5" sqref="A5"/>
      <selection pane="bottomRight" activeCell="K50" sqref="K50"/>
    </sheetView>
  </sheetViews>
  <sheetFormatPr defaultRowHeight="12.75" x14ac:dyDescent="0.2"/>
  <cols>
    <col min="1" max="1" width="14.28515625" bestFit="1" customWidth="1"/>
    <col min="2" max="2" width="31.140625" customWidth="1"/>
    <col min="3" max="3" width="7.7109375" bestFit="1" customWidth="1"/>
    <col min="4" max="4" width="8.5703125" bestFit="1" customWidth="1"/>
    <col min="5" max="5" width="9.5703125" bestFit="1" customWidth="1"/>
    <col min="6" max="6" width="11.7109375" bestFit="1" customWidth="1"/>
    <col min="7" max="7" width="19.7109375" bestFit="1" customWidth="1"/>
    <col min="8" max="8" width="10.5703125" customWidth="1"/>
    <col min="9" max="9" width="11.5703125" customWidth="1"/>
    <col min="10" max="10" width="7" bestFit="1" customWidth="1"/>
    <col min="11" max="11" width="8.42578125" bestFit="1" customWidth="1"/>
    <col min="12" max="13" width="7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23" max="23" width="9.42578125" bestFit="1" customWidth="1"/>
    <col min="25" max="25" width="7.140625" bestFit="1" customWidth="1"/>
    <col min="26" max="26" width="6.85546875" bestFit="1" customWidth="1"/>
    <col min="27" max="27" width="7" bestFit="1" customWidth="1"/>
    <col min="28" max="29" width="7.28515625" bestFit="1" customWidth="1"/>
    <col min="30" max="30" width="7" bestFit="1" customWidth="1"/>
    <col min="31" max="33" width="7.140625" bestFit="1" customWidth="1"/>
    <col min="34" max="34" width="6.85546875" bestFit="1" customWidth="1"/>
    <col min="35" max="35" width="7.5703125" bestFit="1" customWidth="1"/>
    <col min="36" max="36" width="7.140625" bestFit="1" customWidth="1"/>
    <col min="37" max="37" width="6.7109375" bestFit="1" customWidth="1"/>
    <col min="38" max="38" width="10.285156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10" x14ac:dyDescent="0.2">
      <c r="A1" t="s">
        <v>7</v>
      </c>
      <c r="B1" t="s">
        <v>6</v>
      </c>
      <c r="C1" t="s">
        <v>0</v>
      </c>
      <c r="D1" t="s">
        <v>43</v>
      </c>
      <c r="E1" t="s">
        <v>36</v>
      </c>
      <c r="F1" t="s">
        <v>82</v>
      </c>
      <c r="G1" t="s">
        <v>51</v>
      </c>
      <c r="H1" t="s">
        <v>92</v>
      </c>
      <c r="I1" t="s">
        <v>123</v>
      </c>
    </row>
    <row r="2" spans="1:10" x14ac:dyDescent="0.2">
      <c r="A2" t="s">
        <v>1</v>
      </c>
      <c r="B2" t="s">
        <v>89</v>
      </c>
      <c r="C2" t="s">
        <v>3</v>
      </c>
      <c r="D2">
        <v>0</v>
      </c>
      <c r="E2">
        <v>0</v>
      </c>
      <c r="F2">
        <v>8</v>
      </c>
      <c r="G2" s="5" t="b">
        <v>1</v>
      </c>
      <c r="H2" s="5">
        <f>0</f>
        <v>0</v>
      </c>
      <c r="I2" s="10"/>
      <c r="J2" s="3"/>
    </row>
    <row r="3" spans="1:10" x14ac:dyDescent="0.2">
      <c r="A3" t="s">
        <v>42</v>
      </c>
      <c r="B3" t="s">
        <v>45</v>
      </c>
      <c r="C3" t="s">
        <v>3</v>
      </c>
      <c r="D3">
        <v>0</v>
      </c>
      <c r="E3">
        <v>0</v>
      </c>
      <c r="F3">
        <v>8</v>
      </c>
      <c r="G3" s="5" t="b">
        <v>1</v>
      </c>
      <c r="H3" s="5">
        <f>0</f>
        <v>0</v>
      </c>
      <c r="I3" s="10"/>
      <c r="J3" s="7"/>
    </row>
    <row r="4" spans="1:10" x14ac:dyDescent="0.2">
      <c r="A4" t="s">
        <v>38</v>
      </c>
      <c r="B4" t="s">
        <v>90</v>
      </c>
      <c r="C4" t="s">
        <v>88</v>
      </c>
      <c r="D4">
        <v>0</v>
      </c>
      <c r="E4">
        <v>0</v>
      </c>
      <c r="F4">
        <v>2</v>
      </c>
      <c r="G4" s="5" t="b">
        <v>1</v>
      </c>
      <c r="H4" s="5">
        <f>0</f>
        <v>0</v>
      </c>
      <c r="I4" s="10"/>
      <c r="J4" s="1"/>
    </row>
    <row r="5" spans="1:10" x14ac:dyDescent="0.2">
      <c r="A5" t="s">
        <v>40</v>
      </c>
      <c r="B5" t="s">
        <v>91</v>
      </c>
      <c r="C5" t="s">
        <v>88</v>
      </c>
      <c r="D5">
        <v>0</v>
      </c>
      <c r="E5">
        <v>0</v>
      </c>
      <c r="F5">
        <v>2</v>
      </c>
      <c r="G5" s="5" t="b">
        <v>1</v>
      </c>
      <c r="H5" s="5">
        <f>0</f>
        <v>0</v>
      </c>
      <c r="I5" s="10"/>
      <c r="J5" s="2"/>
    </row>
    <row r="6" spans="1:10" x14ac:dyDescent="0.2">
      <c r="A6" t="s">
        <v>2</v>
      </c>
      <c r="B6" t="s">
        <v>2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10"/>
      <c r="J6" s="6"/>
    </row>
    <row r="7" spans="1:10" x14ac:dyDescent="0.2">
      <c r="A7" t="s">
        <v>44</v>
      </c>
      <c r="B7" t="s">
        <v>134</v>
      </c>
      <c r="C7" t="s">
        <v>3</v>
      </c>
      <c r="D7">
        <v>0</v>
      </c>
      <c r="E7">
        <v>0</v>
      </c>
      <c r="F7">
        <v>8</v>
      </c>
      <c r="G7" s="5" t="b">
        <v>1</v>
      </c>
      <c r="H7" s="5">
        <f>0</f>
        <v>0</v>
      </c>
      <c r="I7" s="10"/>
      <c r="J7" s="4"/>
    </row>
  </sheetData>
  <phoneticPr fontId="1" type="noConversion"/>
  <dataValidations disablePrompts="1" count="1">
    <dataValidation type="list" allowBlank="1" showInputMessage="1" showErrorMessage="1" sqref="F16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5"/>
  <sheetViews>
    <sheetView topLeftCell="B1" workbookViewId="0">
      <pane ySplit="9" topLeftCell="A10" activePane="bottomLeft" state="frozen"/>
      <selection pane="bottomLeft" activeCell="R16" sqref="R16"/>
    </sheetView>
  </sheetViews>
  <sheetFormatPr defaultRowHeight="12.75" x14ac:dyDescent="0.2"/>
  <cols>
    <col min="1" max="1" width="15.5703125" customWidth="1"/>
    <col min="2" max="2" width="10.28515625" bestFit="1" customWidth="1"/>
    <col min="3" max="4" width="18.140625" bestFit="1" customWidth="1"/>
    <col min="5" max="5" width="23" bestFit="1" customWidth="1"/>
    <col min="6" max="15" width="18.140625" bestFit="1" customWidth="1"/>
    <col min="16" max="16" width="10.28515625" bestFit="1" customWidth="1"/>
    <col min="17" max="17" width="16.42578125" bestFit="1" customWidth="1"/>
    <col min="18" max="18" width="12.7109375" customWidth="1"/>
    <col min="19" max="50" width="13.28515625" customWidth="1"/>
  </cols>
  <sheetData>
    <row r="1" spans="1:22" x14ac:dyDescent="0.2">
      <c r="A1" t="s">
        <v>86</v>
      </c>
      <c r="C1" t="s">
        <v>5</v>
      </c>
      <c r="D1" t="s">
        <v>127</v>
      </c>
      <c r="E1" t="s">
        <v>101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102</v>
      </c>
      <c r="O1" t="s">
        <v>103</v>
      </c>
    </row>
    <row r="2" spans="1:22" x14ac:dyDescent="0.2">
      <c r="C2" s="10" t="s">
        <v>128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4" spans="1:22" x14ac:dyDescent="0.2">
      <c r="A4" t="s">
        <v>119</v>
      </c>
      <c r="C4" t="s">
        <v>7</v>
      </c>
      <c r="D4" t="s">
        <v>1</v>
      </c>
      <c r="E4" t="s">
        <v>42</v>
      </c>
      <c r="F4" t="s">
        <v>38</v>
      </c>
      <c r="G4" t="s">
        <v>40</v>
      </c>
      <c r="H4" t="s">
        <v>2</v>
      </c>
      <c r="I4" t="s">
        <v>44</v>
      </c>
      <c r="J4" t="s">
        <v>112</v>
      </c>
      <c r="K4" t="s">
        <v>110</v>
      </c>
    </row>
    <row r="5" spans="1:22" x14ac:dyDescent="0.2">
      <c r="A5" t="s">
        <v>40</v>
      </c>
      <c r="C5" t="s">
        <v>106</v>
      </c>
      <c r="D5" t="s">
        <v>109</v>
      </c>
      <c r="E5" t="s">
        <v>109</v>
      </c>
      <c r="F5" t="s">
        <v>117</v>
      </c>
      <c r="G5" t="s">
        <v>108</v>
      </c>
      <c r="H5" t="s">
        <v>109</v>
      </c>
      <c r="I5" t="s">
        <v>109</v>
      </c>
      <c r="J5" t="s">
        <v>113</v>
      </c>
      <c r="K5" t="s">
        <v>108</v>
      </c>
    </row>
    <row r="6" spans="1:22" x14ac:dyDescent="0.2">
      <c r="A6" t="s">
        <v>39</v>
      </c>
      <c r="C6" t="s">
        <v>107</v>
      </c>
      <c r="G6" t="s">
        <v>2</v>
      </c>
      <c r="J6" t="s">
        <v>38</v>
      </c>
      <c r="K6" t="s">
        <v>111</v>
      </c>
    </row>
    <row r="7" spans="1:22" x14ac:dyDescent="0.2">
      <c r="A7">
        <v>-123.45699999999999</v>
      </c>
      <c r="C7" t="s">
        <v>37</v>
      </c>
      <c r="D7" s="3">
        <f>Format[Test Value]</f>
        <v>-123.45699999999999</v>
      </c>
      <c r="E7" s="7">
        <f>Format[Test Value]</f>
        <v>-123.45699999999999</v>
      </c>
      <c r="F7" s="1">
        <f>Format[Test Value]</f>
        <v>-123.45699999999999</v>
      </c>
      <c r="G7" s="2">
        <f>Format[Test Value]</f>
        <v>-123.45699999999999</v>
      </c>
      <c r="H7" s="4">
        <f>Format[Test Value]</f>
        <v>-123.45699999999999</v>
      </c>
      <c r="I7" s="6">
        <f>Format[Test Value]</f>
        <v>-123.45699999999999</v>
      </c>
      <c r="J7" s="14">
        <f>Format[Test Value]</f>
        <v>-123.45699999999999</v>
      </c>
      <c r="K7" s="15">
        <f>Format[Test Value]</f>
        <v>-123.45699999999999</v>
      </c>
    </row>
    <row r="9" spans="1:22" x14ac:dyDescent="0.2">
      <c r="A9" t="s">
        <v>7</v>
      </c>
      <c r="C9" t="s">
        <v>52</v>
      </c>
      <c r="D9" t="s">
        <v>61</v>
      </c>
      <c r="E9" t="s">
        <v>104</v>
      </c>
      <c r="F9" t="s">
        <v>65</v>
      </c>
      <c r="G9" t="s">
        <v>63</v>
      </c>
      <c r="H9" t="s">
        <v>58</v>
      </c>
      <c r="I9" t="s">
        <v>59</v>
      </c>
      <c r="J9" t="s">
        <v>60</v>
      </c>
      <c r="K9" t="s">
        <v>62</v>
      </c>
      <c r="L9" t="s">
        <v>66</v>
      </c>
      <c r="M9" t="s">
        <v>64</v>
      </c>
      <c r="O9" t="s">
        <v>52</v>
      </c>
      <c r="P9" t="s">
        <v>61</v>
      </c>
      <c r="Q9" t="s">
        <v>105</v>
      </c>
      <c r="R9" t="s">
        <v>7</v>
      </c>
      <c r="S9" t="s">
        <v>67</v>
      </c>
      <c r="T9" t="s">
        <v>68</v>
      </c>
      <c r="U9" t="s">
        <v>69</v>
      </c>
      <c r="V9" t="s">
        <v>70</v>
      </c>
    </row>
    <row r="10" spans="1:22" x14ac:dyDescent="0.2">
      <c r="A10" t="s">
        <v>2</v>
      </c>
      <c r="C10" s="10"/>
      <c r="D10" s="5"/>
      <c r="G10" s="12"/>
      <c r="H10" s="12"/>
      <c r="I10" s="12"/>
      <c r="J10" s="12"/>
      <c r="K10" s="5"/>
      <c r="M10" s="13"/>
      <c r="O10" s="10"/>
      <c r="P10" s="5"/>
      <c r="S10" s="13"/>
      <c r="T10" s="13"/>
      <c r="U10" s="13"/>
      <c r="V10" s="13"/>
    </row>
    <row r="11" spans="1:22" x14ac:dyDescent="0.2">
      <c r="A11" t="s">
        <v>116</v>
      </c>
    </row>
    <row r="12" spans="1:22" x14ac:dyDescent="0.2">
      <c r="A12" t="s">
        <v>42</v>
      </c>
    </row>
    <row r="13" spans="1:22" x14ac:dyDescent="0.2">
      <c r="A13" t="s">
        <v>1</v>
      </c>
    </row>
    <row r="14" spans="1:22" x14ac:dyDescent="0.2">
      <c r="A14" t="s">
        <v>118</v>
      </c>
    </row>
    <row r="15" spans="1:22" x14ac:dyDescent="0.2">
      <c r="A15" t="s">
        <v>44</v>
      </c>
    </row>
  </sheetData>
  <phoneticPr fontId="1" type="noConversion"/>
  <dataValidations count="2">
    <dataValidation type="list" allowBlank="1" showInputMessage="1" showErrorMessage="1" sqref="R10" xr:uid="{8FDC71A3-3930-4463-8BF7-600BC77066F2}">
      <formula1>"BNB,BTC,ETH,USDT,USDC"</formula1>
    </dataValidation>
    <dataValidation type="list" allowBlank="1" showInputMessage="1" showErrorMessage="1" sqref="D5:K5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dgerTemplate"/>
  <dimension ref="A1:R24"/>
  <sheetViews>
    <sheetView zoomScaleNormal="100" workbookViewId="0">
      <pane ySplit="14" topLeftCell="A15" activePane="bottomLeft" state="frozen"/>
      <selection pane="bottomLeft" activeCell="H30" sqref="H3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5" width="16" customWidth="1"/>
    <col min="6" max="6" width="12.28515625" bestFit="1" customWidth="1"/>
    <col min="7" max="7" width="16" customWidth="1"/>
    <col min="8" max="8" width="13.85546875" bestFit="1" customWidth="1"/>
    <col min="9" max="9" width="13.28515625" customWidth="1"/>
    <col min="10" max="10" width="14.7109375" customWidth="1"/>
    <col min="11" max="11" width="11.140625" bestFit="1" customWidth="1"/>
    <col min="12" max="12" width="16.42578125" bestFit="1" customWidth="1"/>
    <col min="13" max="13" width="15.42578125" bestFit="1" customWidth="1"/>
    <col min="14" max="14" width="14.28515625" bestFit="1" customWidth="1"/>
    <col min="15" max="15" width="19.5703125" customWidth="1"/>
    <col min="16" max="16" width="18.42578125" customWidth="1"/>
    <col min="17" max="17" width="14.5703125" bestFit="1" customWidth="1"/>
    <col min="18" max="18" width="15.42578125" customWidth="1"/>
  </cols>
  <sheetData>
    <row r="1" spans="1:18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81</v>
      </c>
      <c r="I1" t="s">
        <v>29</v>
      </c>
      <c r="J1" t="s">
        <v>27</v>
      </c>
      <c r="K1" t="s">
        <v>10</v>
      </c>
      <c r="L1" t="s">
        <v>32</v>
      </c>
      <c r="M1" t="s">
        <v>33</v>
      </c>
      <c r="N1" t="s">
        <v>130</v>
      </c>
      <c r="O1" t="s">
        <v>125</v>
      </c>
      <c r="P1" t="s">
        <v>126</v>
      </c>
      <c r="Q1" t="s">
        <v>129</v>
      </c>
      <c r="R1" t="s">
        <v>131</v>
      </c>
    </row>
    <row r="2" spans="1:18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 s="13">
        <f>SUMIF(Details[Operation],Summary[[#This Row],[In Operation]],Details[BNB Fee])+SUMIF(Details[Operation],Summary[[#This Row],[Out Operation]],Details[BNB Fee])</f>
        <v>0</v>
      </c>
      <c r="L2">
        <f>SUMIF(Details[Operation],Summary[[#This Row],[In Operation]],Details[Debit])</f>
        <v>0</v>
      </c>
      <c r="M2">
        <f>SUMIF(Details[Operation],Summary[[#This Row],[Out Operation]],Details[Credit])</f>
        <v>0</v>
      </c>
      <c r="N2">
        <f>SUMIF(Details[Operation],Summary[[#This Row],[In Operation]],Details[Commission])+SUMIF(Details[Operation],Summary[[#This Row],[Out Operation]],Details[Commission])</f>
        <v>0</v>
      </c>
      <c r="O2" s="13">
        <f>IFERROR(SUMIFS(Details[Debit],Details[Operation],Summary[[#This Row],[In Operation]],Details[Price],"&lt;&gt;0")/SUMIFS(Details[Acquired],Details[Operation],Summary[[#This Row],[In Operation]]),0)</f>
        <v>0</v>
      </c>
      <c r="P2" s="13">
        <f>IFERROR(SUMIFS(Details[Credit],Details[Operation],Summary[[#This Row],[Out Operation]],Details[Price],"&lt;&gt;0")/SUMIFS(Details[Spent],Details[Operation],Summary[[#This Row],[Out Operation]]),0)</f>
        <v>0</v>
      </c>
      <c r="Q2">
        <f>IF(Summary[[#This Row],[Avg Acquire Price]]=0,0,Summary[[#This Row],[Debit]])-IF(Summary[[#This Row],[Avg Spend Price]]=0,0,Summary[[#This Row],[Credit]])-Summary[[#This Row],[Commission]]</f>
        <v>0</v>
      </c>
      <c r="R2">
        <f>IF(COUNTIF(Summary[[#This Row],[Debit]]:Summary[[#This Row],[Commission]],0)=3,0,$B$5*Summary[[#This Row],[Balance]]-Summary[[#This Row],[Invested]])</f>
        <v>0</v>
      </c>
    </row>
    <row r="3" spans="1:18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 s="13">
        <f>SUMIF(Details[Operation],Summary[[#This Row],[In Operation]],Details[BNB Fee])+SUMIF(Details[Operation],Summary[[#This Row],[Out Operation]],Details[BNB Fee])</f>
        <v>0</v>
      </c>
      <c r="L3">
        <f>SUMIF(Details[Operation],Summary[[#This Row],[In Operation]],Details[Debit])</f>
        <v>0</v>
      </c>
      <c r="M3">
        <f>SUMIF(Details[Operation],Summary[[#This Row],[Out Operation]],Details[Credit])</f>
        <v>0</v>
      </c>
      <c r="N3">
        <f>SUMIF(Details[Operation],Summary[[#This Row],[In Operation]],Details[Commission])+SUMIF(Details[Operation],Summary[[#This Row],[Out Operation]],Details[Commission])</f>
        <v>0</v>
      </c>
      <c r="O3" s="13">
        <f>IFERROR(SUMIFS(Details[Debit],Details[Operation],Summary[[#This Row],[In Operation]],Details[Price],"&lt;&gt;0")/SUMIFS(Details[Acquired],Details[Operation],Summary[[#This Row],[In Operation]]),0)</f>
        <v>0</v>
      </c>
      <c r="P3" s="13">
        <f>IFERROR(SUMIFS(Details[Credit],Details[Operation],Summary[[#This Row],[Out Operation]],Details[Price],"&lt;&gt;0")/SUMIFS(Details[Spent],Details[Operation],Summary[[#This Row],[Out Operation]]),0)</f>
        <v>0</v>
      </c>
      <c r="Q3">
        <f>IF(Summary[[#This Row],[Avg Acquire Price]]=0,0,Summary[[#This Row],[Debit]])-IF(Summary[[#This Row],[Avg Spend Price]]=0,0,Summary[[#This Row],[Credit]])-Summary[[#This Row],[Commission]]</f>
        <v>0</v>
      </c>
      <c r="R3">
        <f>IF(COUNTIF(Summary[[#This Row],[Debit]]:Summary[[#This Row],[Commission]],0)=3,0,$B$5*Summary[[#This Row],[Balance]]-Summary[[#This Row],[Invested]])</f>
        <v>0</v>
      </c>
    </row>
    <row r="4" spans="1:18" ht="12.75" customHeight="1" x14ac:dyDescent="0.2">
      <c r="A4" t="s">
        <v>115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 s="13">
        <f>SUMIF(Details[Operation],Summary[[#This Row],[In Operation]],Details[BNB Fee])+SUMIF(Details[Operation],Summary[[#This Row],[Out Operation]],Details[BNB Fee])</f>
        <v>0</v>
      </c>
      <c r="L4">
        <f>SUMIF(Details[Operation],Summary[[#This Row],[In Operation]],Details[Debit])</f>
        <v>0</v>
      </c>
      <c r="M4">
        <f>SUMIF(Details[Operation],Summary[[#This Row],[Out Operation]],Details[Credit])</f>
        <v>0</v>
      </c>
      <c r="N4">
        <f>SUMIF(Details[Operation],Summary[[#This Row],[In Operation]],Details[Commission])+SUMIF(Details[Operation],Summary[[#This Row],[Out Operation]],Details[Commission])</f>
        <v>0</v>
      </c>
      <c r="O4" s="13">
        <f>IFERROR(SUMIFS(Details[Debit],Details[Operation],Summary[[#This Row],[In Operation]],Details[Price],"&lt;&gt;0")/SUMIFS(Details[Acquired],Details[Operation],Summary[[#This Row],[In Operation]]),0)</f>
        <v>0</v>
      </c>
      <c r="P4" s="13">
        <f>IFERROR(SUMIFS(Details[Credit],Details[Operation],Summary[[#This Row],[Out Operation]],Details[Price],"&lt;&gt;0")/SUMIFS(Details[Spent],Details[Operation],Summary[[#This Row],[Out Operation]]),0)</f>
        <v>0</v>
      </c>
      <c r="Q4">
        <f>IF(Summary[[#This Row],[Avg Acquire Price]]=0,0,Summary[[#This Row],[Debit]])-IF(Summary[[#This Row],[Avg Spend Price]]=0,0,Summary[[#This Row],[Credit]])-Summary[[#This Row],[Commission]]</f>
        <v>0</v>
      </c>
      <c r="R4">
        <f>IF(COUNTIF(Summary[[#This Row],[Debit]]:Summary[[#This Row],[Commission]],0)=3,0,$B$5*Summary[[#This Row],[Balance]]-Summary[[#This Row],[Invested]])</f>
        <v>0</v>
      </c>
    </row>
    <row r="5" spans="1:18" ht="12.75" customHeight="1" x14ac:dyDescent="0.2">
      <c r="A5" t="s">
        <v>34</v>
      </c>
      <c r="B5" s="13" t="e" cm="1">
        <f t="array" ref="B5">INDEX(Assets[Price], MATCH(Markets[Ticker],Assets[Ticker],0))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 s="13">
        <f>SUMIF(Details[Operation],Summary[[#This Row],[In Operation]],Details[BNB Fee])+SUMIF(Details[Operation],Summary[[#This Row],[Out Operation]],Details[BNB Fee])</f>
        <v>0</v>
      </c>
      <c r="L5">
        <f>SUMIF(Details[Operation],Summary[[#This Row],[In Operation]],Details[Debit])</f>
        <v>0</v>
      </c>
      <c r="M5">
        <f>SUMIF(Details[Operation],Summary[[#This Row],[Out Operation]],Details[Credit])</f>
        <v>0</v>
      </c>
      <c r="N5">
        <f>SUMIF(Details[Operation],Summary[[#This Row],[In Operation]],Details[Commission])+SUMIF(Details[Operation],Summary[[#This Row],[Out Operation]],Details[Commission])</f>
        <v>0</v>
      </c>
      <c r="O5" s="13">
        <f>IFERROR(SUMIFS(Details[Debit],Details[Operation],Summary[[#This Row],[In Operation]],Details[Price],"&lt;&gt;0")/SUMIFS(Details[Acquired],Details[Operation],Summary[[#This Row],[In Operation]]),0)</f>
        <v>0</v>
      </c>
      <c r="P5" s="13">
        <f>IFERROR(SUMIFS(Details[Credit],Details[Operation],Summary[[#This Row],[Out Operation]],Details[Price],"&lt;&gt;0")/SUMIFS(Details[Spent],Details[Operation],Summary[[#This Row],[Out Operation]]),0)</f>
        <v>0</v>
      </c>
      <c r="Q5">
        <f>IF(Summary[[#This Row],[Avg Acquire Price]]=0,0,Summary[[#This Row],[Debit]])-IF(Summary[[#This Row],[Avg Spend Price]]=0,0,Summary[[#This Row],[Credit]])-Summary[[#This Row],[Commission]]</f>
        <v>0</v>
      </c>
      <c r="R5">
        <f>IF(COUNTIF(Summary[[#This Row],[Debit]]:Summary[[#This Row],[Commission]],0)=3,0,$B$5*Summary[[#This Row],[Balance]]-Summary[[#This Row],[Invested]])</f>
        <v>0</v>
      </c>
    </row>
    <row r="6" spans="1:18" ht="12.75" customHeight="1" x14ac:dyDescent="0.2">
      <c r="A6" t="s">
        <v>114</v>
      </c>
      <c r="B6" t="e" cm="1">
        <f t="array" ref="B6">INDEX(Assets[Price], MATCH(Markets[Ticker],Assets[Ticker],0))*Summary[[#Totals],[Balance]]+INDEX(Assets[Dynamic Amount], MATCH(Markets[Ticker],Assets[Ticker],0))</f>
        <v>#N/A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 s="13">
        <f>SUMIF(Details[Operation],Summary[[#This Row],[In Operation]],Details[BNB Fee])+SUMIF(Details[Operation],Summary[[#This Row],[Out Operation]],Details[BNB Fee])</f>
        <v>0</v>
      </c>
      <c r="L6">
        <f>SUMIF(Details[Operation],Summary[[#This Row],[In Operation]],Details[Debit])</f>
        <v>0</v>
      </c>
      <c r="M6">
        <f>SUMIF(Details[Operation],Summary[[#This Row],[Out Operation]],Details[Credit])</f>
        <v>0</v>
      </c>
      <c r="N6">
        <f>SUMIF(Details[Operation],Summary[[#This Row],[In Operation]],Details[Commission])+SUMIF(Details[Operation],Summary[[#This Row],[Out Operation]],Details[Commission])</f>
        <v>0</v>
      </c>
      <c r="O6" s="13">
        <f>IFERROR(SUMIFS(Details[Debit],Details[Operation],Summary[[#This Row],[In Operation]],Details[Price],"&lt;&gt;0")/SUMIFS(Details[Acquired],Details[Operation],Summary[[#This Row],[In Operation]]),0)</f>
        <v>0</v>
      </c>
      <c r="P6" s="13">
        <f>IFERROR(SUMIFS(Details[Credit],Details[Operation],Summary[[#This Row],[Out Operation]],Details[Price],"&lt;&gt;0")/SUMIFS(Details[Spent],Details[Operation],Summary[[#This Row],[Out Operation]]),0)</f>
        <v>0</v>
      </c>
      <c r="Q6">
        <f>IF(Summary[[#This Row],[Avg Acquire Price]]=0,0,Summary[[#This Row],[Debit]])-IF(Summary[[#This Row],[Avg Spend Price]]=0,0,Summary[[#This Row],[Credit]])-Summary[[#This Row],[Commission]]</f>
        <v>0</v>
      </c>
      <c r="R6">
        <f>IF(COUNTIF(Summary[[#This Row],[Debit]]:Summary[[#This Row],[Commission]],0)=3,0,$B$5*Summary[[#This Row],[Balance]]-Summary[[#This Row],[Invested]])</f>
        <v>0</v>
      </c>
    </row>
    <row r="7" spans="1:18" ht="12.75" customHeight="1" x14ac:dyDescent="0.2">
      <c r="A7" t="s">
        <v>28</v>
      </c>
      <c r="B7" t="e" cm="1">
        <f t="array" ref="B7">Summary[[#Totals],[Balance]]+INDEX(Assets[Dynamic Amount], MATCH(Markets[Ticker],Assets[Ticker],0))</f>
        <v>#N/A</v>
      </c>
      <c r="D7" t="s">
        <v>35</v>
      </c>
      <c r="E7">
        <f>SUMIF(Details[Operation],Summary[[#This Row],[In Operation]],Details[Acquired])</f>
        <v>0</v>
      </c>
      <c r="F7" t="s">
        <v>56</v>
      </c>
      <c r="G7">
        <f>SUMIF(Details[Operation],Summary[[#This Row],[Out Operation]],Details[Spent])</f>
        <v>0</v>
      </c>
      <c r="H7" t="s">
        <v>57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 s="13">
        <f>SUMIF(Details[Operation],Summary[[#This Row],[In Operation]],Details[BNB Fee])+SUMIF(Details[Operation],Summary[[#This Row],[Out Operation]],Details[BNB Fee])</f>
        <v>0</v>
      </c>
      <c r="L7">
        <f>SUMIF(Details[Operation],Summary[[#This Row],[In Operation]],Details[Debit])</f>
        <v>0</v>
      </c>
      <c r="M7">
        <f>SUMIF(Details[Operation],Summary[[#This Row],[Out Operation]],Details[Credit])</f>
        <v>0</v>
      </c>
      <c r="N7">
        <f>SUMIF(Details[Operation],Summary[[#This Row],[In Operation]],Details[Commission])+SUMIF(Details[Operation],Summary[[#This Row],[Out Operation]],Details[Commission])</f>
        <v>0</v>
      </c>
      <c r="O7" s="13">
        <f>IFERROR(SUMIFS(Details[Debit],Details[Operation],Summary[[#This Row],[In Operation]],Details[Price],"&lt;&gt;0")/SUMIFS(Details[Acquired],Details[Operation],Summary[[#This Row],[In Operation]]),0)</f>
        <v>0</v>
      </c>
      <c r="P7" s="13">
        <f>IFERROR(SUMIFS(Details[Credit],Details[Operation],Summary[[#This Row],[Out Operation]],Details[Price],"&lt;&gt;0")/SUMIFS(Details[Spent],Details[Operation],Summary[[#This Row],[Out Operation]]),0)</f>
        <v>0</v>
      </c>
      <c r="Q7">
        <f>IF(Summary[[#This Row],[Avg Acquire Price]]=0,0,Summary[[#This Row],[Debit]])-IF(Summary[[#This Row],[Avg Spend Price]]=0,0,Summary[[#This Row],[Credit]])-Summary[[#This Row],[Commission]]</f>
        <v>0</v>
      </c>
      <c r="R7">
        <f>IF(COUNTIF(Summary[[#This Row],[Debit]]:Summary[[#This Row],[Commission]],0)=3,0,$B$5*Summary[[#This Row],[Balance]]-Summary[[#This Row],[Invested]])</f>
        <v>0</v>
      </c>
    </row>
    <row r="8" spans="1:18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 s="13">
        <f>SUBTOTAL(109,Summary[BNB fees])</f>
        <v>0</v>
      </c>
      <c r="L8">
        <f>SUBTOTAL(109,Summary[Debit])</f>
        <v>0</v>
      </c>
      <c r="M8">
        <f>SUBTOTAL(109,Summary[Credit])</f>
        <v>0</v>
      </c>
      <c r="N8">
        <f>SUBTOTAL(109,Summary[Commission])</f>
        <v>0</v>
      </c>
      <c r="O8" s="13">
        <f>IFERROR(SUMIFS(Details[Debit],Details[Price],"&lt;&gt;0")/SUM(Details[Acquired]),0)</f>
        <v>0</v>
      </c>
      <c r="P8" s="13">
        <f>IFERROR(SUMIFS(Details[Credit],Details[Price],"&lt;&gt;0")/SUM(Details[Spent]),0)</f>
        <v>0</v>
      </c>
      <c r="Q8">
        <f>SUBTOTAL(109,Summary[Invested])</f>
        <v>0</v>
      </c>
      <c r="R8">
        <f>SUBTOTAL(109,Summary[Unrealized L/P])</f>
        <v>0</v>
      </c>
    </row>
    <row r="9" spans="1:18" ht="12.75" customHeight="1" x14ac:dyDescent="0.2">
      <c r="A9" t="s">
        <v>85</v>
      </c>
      <c r="B9" t="e" cm="1">
        <f t="array" ref="B9">INDEX(Assets[Dynamic Amount], MATCH(Markets[Ticker],Assets[Ticker],0))</f>
        <v>#N/A</v>
      </c>
    </row>
    <row r="10" spans="1:18" ht="12.75" customHeight="1" x14ac:dyDescent="0.2">
      <c r="A10" t="s">
        <v>80</v>
      </c>
      <c r="B10" s="13" t="e" cm="1">
        <f t="array" ref="B10">Summary[[#Totals],[Balance]]+INDEX(Assets[Dynamic Amount], MATCH(Markets[Ticker],Assets[Ticker],0))-INDEX(Assets[Total Amount], MATCH(Markets[Ticker],Assets[Ticker],0))</f>
        <v>#N/A</v>
      </c>
    </row>
    <row r="11" spans="1:18" ht="12.75" customHeight="1" x14ac:dyDescent="0.2">
      <c r="A11" t="s">
        <v>53</v>
      </c>
      <c r="B11" s="11" cm="1">
        <f t="array" ref="B11">UserInfo[Activity Start Date]</f>
        <v>45809</v>
      </c>
      <c r="D11" t="s">
        <v>7</v>
      </c>
      <c r="E11" t="s">
        <v>87</v>
      </c>
    </row>
    <row r="12" spans="1:18" ht="12.75" customHeight="1" x14ac:dyDescent="0.2">
      <c r="A12" t="s">
        <v>133</v>
      </c>
      <c r="B12" t="s">
        <v>132</v>
      </c>
      <c r="D12" s="5" t="b">
        <v>0</v>
      </c>
      <c r="E12" s="5" t="b">
        <v>0</v>
      </c>
    </row>
    <row r="14" spans="1:18" ht="12.75" customHeight="1" x14ac:dyDescent="0.2">
      <c r="A14" t="s">
        <v>52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124</v>
      </c>
      <c r="K14" t="s">
        <v>30</v>
      </c>
      <c r="L14" t="s">
        <v>32</v>
      </c>
      <c r="M14" t="s">
        <v>33</v>
      </c>
      <c r="N14" t="s">
        <v>130</v>
      </c>
      <c r="O14" t="s">
        <v>55</v>
      </c>
      <c r="P14" t="s">
        <v>54</v>
      </c>
    </row>
    <row r="15" spans="1:18" ht="12.75" customHeight="1" x14ac:dyDescent="0.2">
      <c r="A15" s="10"/>
      <c r="G15" s="13"/>
      <c r="I15" s="13"/>
      <c r="K15" s="13"/>
    </row>
    <row r="16" spans="1:18" ht="12.75" customHeight="1" x14ac:dyDescent="0.2">
      <c r="D16">
        <f>SUBTOTAL(109,Details[Acquired])</f>
        <v>0</v>
      </c>
      <c r="E16">
        <f>SUBTOTAL(109,Details[Spent])</f>
        <v>0</v>
      </c>
      <c r="I16" s="13"/>
      <c r="K16" s="13">
        <f>SUBTOTAL(109,Details[BNB Fee])</f>
        <v>0</v>
      </c>
      <c r="L16">
        <f>SUBTOTAL(109,Details[Debit])</f>
        <v>0</v>
      </c>
      <c r="M16">
        <f>SUBTOTAL(109,Details[Credit])</f>
        <v>0</v>
      </c>
      <c r="N16">
        <f>SUBTOTAL(109,Details[Commission])</f>
        <v>0</v>
      </c>
      <c r="P16">
        <f>SUBTOTAL(103,Details[ID])</f>
        <v>0</v>
      </c>
    </row>
    <row r="24" spans="4:4" ht="12.75" customHeight="1" x14ac:dyDescent="0.2">
      <c r="D24" s="8"/>
    </row>
  </sheetData>
  <phoneticPr fontId="1" type="noConversion"/>
  <conditionalFormatting sqref="B10">
    <cfRule type="cellIs" dxfId="9" priority="1" operator="notEqual">
      <formula>0</formula>
    </cfRule>
  </conditionalFormatting>
  <dataValidations count="1">
    <dataValidation type="list" allowBlank="1" showInputMessage="1" showErrorMessage="1" sqref="B12" xr:uid="{C169F8D3-A96D-4489-9E34-9BF5F5A5DE66}">
      <formula1>"5 minutes,15 minutes,30 minutes,1 hour,4 hours,8 hours,1 day"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2026-04-15T11:45:32Z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