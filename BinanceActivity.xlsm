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Work\Binance-Workbook\"/>
    </mc:Choice>
  </mc:AlternateContent>
  <xr:revisionPtr revIDLastSave="0" documentId="13_ncr:1_{7C426F89-E26D-43E9-AB95-1F92C1DC01AF}" xr6:coauthVersionLast="47" xr6:coauthVersionMax="47" xr10:uidLastSave="{00000000-0000-0000-0000-000000000000}"/>
  <bookViews>
    <workbookView xWindow="28680" yWindow="-120" windowWidth="29040" windowHeight="15720" tabRatio="614" xr2:uid="{00000000-000D-0000-FFFF-FFFF00000000}"/>
  </bookViews>
  <sheets>
    <sheet name="Assets" sheetId="4" r:id="rId1"/>
    <sheet name="Currencies" sheetId="3" r:id="rId2"/>
    <sheet name="Misc" sheetId="27" r:id="rId3"/>
    <sheet name="Ledger Template" sheetId="1" r:id="rId4"/>
  </sheets>
  <functionGroups builtInGroupCount="19"/>
  <definedNames>
    <definedName name="_xlnm._FilterDatabase" localSheetId="1" hidden="1">'Currencies'!$A$1:$A$7</definedName>
    <definedName name="_xleta.AND" hidden="1" xlm="1">#NAME?</definedName>
    <definedName name="_xleta.COUNT" hidden="1" xlm="1">#NAME?</definedName>
    <definedName name="_xleta.PRICE" hidden="1" xlm="1">#NAME?</definedName>
    <definedName name="_xleta.SUM" hidden="1" xlm="1">#NAME?</definedName>
    <definedName name="_xleta.SUMIF" hidden="1" xlm="1">#NAME?</definedName>
    <definedName name="_xlnm.Criteria" localSheetId="1">'Currencies'!#REF!</definedName>
    <definedName name="MyEvalTickers" hidden="1">Misc!$D$4:$K$4</definedName>
    <definedName name="Test1">_xlfn._xlws.FILTER(Currencies[Ticker],#REF!)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" i="3" l="1"/>
  <c r="H3" i="3"/>
  <c r="H4" i="3"/>
  <c r="H5" i="3"/>
  <c r="H6" i="3"/>
  <c r="H7" i="3"/>
  <c r="R2" i="1"/>
  <c r="R3" i="1"/>
  <c r="R4" i="1"/>
  <c r="R5" i="1"/>
  <c r="R6" i="1"/>
  <c r="R7" i="1"/>
  <c r="B6" i="1" a="1"/>
  <c r="B6" i="1" s="1"/>
  <c r="B5" i="1" a="1"/>
  <c r="B5" i="1" s="1"/>
  <c r="N16" i="1"/>
  <c r="M16" i="1"/>
  <c r="L16" i="1"/>
  <c r="P8" i="1"/>
  <c r="P2" i="1"/>
  <c r="P3" i="1"/>
  <c r="P4" i="1"/>
  <c r="P5" i="1"/>
  <c r="P6" i="1"/>
  <c r="P7" i="1"/>
  <c r="O8" i="1"/>
  <c r="O2" i="1"/>
  <c r="O3" i="1"/>
  <c r="O4" i="1"/>
  <c r="O5" i="1"/>
  <c r="O6" i="1"/>
  <c r="O7" i="1"/>
  <c r="N2" i="1"/>
  <c r="N3" i="1"/>
  <c r="N4" i="1"/>
  <c r="N5" i="1"/>
  <c r="N6" i="1"/>
  <c r="N7" i="1"/>
  <c r="B11" i="1" a="1"/>
  <c r="B11" i="1" s="1"/>
  <c r="M2" i="1"/>
  <c r="M3" i="1"/>
  <c r="M4" i="1"/>
  <c r="M5" i="1"/>
  <c r="M6" i="1"/>
  <c r="M7" i="1"/>
  <c r="L2" i="1"/>
  <c r="L3" i="1"/>
  <c r="L4" i="1"/>
  <c r="L5" i="1"/>
  <c r="L6" i="1"/>
  <c r="L7" i="1"/>
  <c r="Q7" i="1" s="1"/>
  <c r="K7" i="27"/>
  <c r="J7" i="27"/>
  <c r="I7" i="27"/>
  <c r="H7" i="27"/>
  <c r="G7" i="27"/>
  <c r="F7" i="27"/>
  <c r="E7" i="27"/>
  <c r="D7" i="27"/>
  <c r="B9" i="1" a="1"/>
  <c r="B9" i="1" s="1"/>
  <c r="I2" i="1" a="1"/>
  <c r="I2" i="1" s="1"/>
  <c r="I3" i="1" a="1"/>
  <c r="I3" i="1" s="1"/>
  <c r="I4" i="1" a="1"/>
  <c r="I4" i="1" s="1"/>
  <c r="I5" i="1" a="1"/>
  <c r="I5" i="1" s="1"/>
  <c r="I6" i="1" a="1"/>
  <c r="I6" i="1" s="1"/>
  <c r="I7" i="1" a="1"/>
  <c r="I7" i="1" s="1"/>
  <c r="K16" i="1"/>
  <c r="E16" i="1"/>
  <c r="D16" i="1"/>
  <c r="G2" i="1"/>
  <c r="G3" i="1"/>
  <c r="G4" i="1"/>
  <c r="G5" i="1"/>
  <c r="G6" i="1"/>
  <c r="G7" i="1"/>
  <c r="K2" i="1"/>
  <c r="K3" i="1"/>
  <c r="K4" i="1"/>
  <c r="K5" i="1"/>
  <c r="K6" i="1"/>
  <c r="K7" i="1"/>
  <c r="E2" i="1"/>
  <c r="E3" i="1"/>
  <c r="E4" i="1"/>
  <c r="E5" i="1"/>
  <c r="E6" i="1"/>
  <c r="E7" i="1"/>
  <c r="A6" i="4"/>
  <c r="P16" i="1"/>
  <c r="R8" i="1" l="1"/>
  <c r="Q6" i="1"/>
  <c r="Q5" i="1"/>
  <c r="Q4" i="1"/>
  <c r="Q3" i="1"/>
  <c r="Q2" i="1"/>
  <c r="Q8" i="1" s="1"/>
  <c r="N8" i="1"/>
  <c r="L8" i="1"/>
  <c r="M8" i="1"/>
  <c r="L6" i="4"/>
  <c r="I8" i="1"/>
  <c r="K8" i="1"/>
  <c r="E8" i="1"/>
  <c r="G8" i="1"/>
  <c r="J5" i="1"/>
  <c r="J6" i="1"/>
  <c r="J3" i="1"/>
  <c r="J7" i="1"/>
  <c r="J4" i="1"/>
  <c r="J2" i="1"/>
  <c r="J6" i="4"/>
  <c r="H6" i="4"/>
  <c r="D6" i="4"/>
  <c r="F6" i="4"/>
  <c r="J8" i="1" l="1"/>
  <c r="B10" i="1" s="1" a="1"/>
  <c r="B10" i="1" s="1"/>
  <c r="B8" i="1" l="1"/>
  <c r="B7" i="1" a="1"/>
  <c r="B7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<sst xmlns="http://schemas.openxmlformats.org/spreadsheetml/2006/main" count="182" uniqueCount="135">
  <si>
    <t>Type</t>
  </si>
  <si>
    <t>BTC</t>
  </si>
  <si>
    <t>USDC</t>
  </si>
  <si>
    <t>Crypto</t>
  </si>
  <si>
    <t>Wallet</t>
  </si>
  <si>
    <t>Operation</t>
  </si>
  <si>
    <t>Name</t>
  </si>
  <si>
    <t>Ticker</t>
  </si>
  <si>
    <t>Base Trade</t>
  </si>
  <si>
    <t>Quote Trade</t>
  </si>
  <si>
    <t>BNB fees</t>
  </si>
  <si>
    <t>income</t>
  </si>
  <si>
    <t>Internal Transfer</t>
  </si>
  <si>
    <t>External Transfer</t>
  </si>
  <si>
    <t>deposit</t>
  </si>
  <si>
    <t>withdraw</t>
  </si>
  <si>
    <t>wallet-in</t>
  </si>
  <si>
    <t>wallet-out</t>
  </si>
  <si>
    <t>convert-in</t>
  </si>
  <si>
    <t>convert-out</t>
  </si>
  <si>
    <t>Convert</t>
  </si>
  <si>
    <t>buy</t>
  </si>
  <si>
    <t>sell</t>
  </si>
  <si>
    <t>Activity</t>
  </si>
  <si>
    <t>Acquired</t>
  </si>
  <si>
    <t>Spent</t>
  </si>
  <si>
    <t>In Operation</t>
  </si>
  <si>
    <t>Balance</t>
  </si>
  <si>
    <t>Total</t>
  </si>
  <si>
    <t>Charge</t>
  </si>
  <si>
    <t>BNB Fee</t>
  </si>
  <si>
    <t>expence</t>
  </si>
  <si>
    <t>Debit</t>
  </si>
  <si>
    <t>Credit</t>
  </si>
  <si>
    <t>Price</t>
  </si>
  <si>
    <t>Binance</t>
  </si>
  <si>
    <t>Quotes</t>
  </si>
  <si>
    <t>Format</t>
  </si>
  <si>
    <t>EUR</t>
  </si>
  <si>
    <t>Test Value</t>
  </si>
  <si>
    <t>USD</t>
  </si>
  <si>
    <t>Amount</t>
  </si>
  <si>
    <t>ETH</t>
  </si>
  <si>
    <t>Bases</t>
  </si>
  <si>
    <t>USDT</t>
  </si>
  <si>
    <t>Ethereum</t>
  </si>
  <si>
    <t>UID</t>
  </si>
  <si>
    <t>Maker Fee</t>
  </si>
  <si>
    <t>Taker Fee</t>
  </si>
  <si>
    <t>Buyer Fee</t>
  </si>
  <si>
    <t>Seller Fee</t>
  </si>
  <si>
    <t>Keep on Compact</t>
  </si>
  <si>
    <t>Stamp</t>
  </si>
  <si>
    <t>Activity Start Date</t>
  </si>
  <si>
    <t>ID</t>
  </si>
  <si>
    <t>Note</t>
  </si>
  <si>
    <t>distribution</t>
  </si>
  <si>
    <t>commission</t>
  </si>
  <si>
    <t>Spot Wallet</t>
  </si>
  <si>
    <t>Funding Wallet</t>
  </si>
  <si>
    <t>Earn Wallet</t>
  </si>
  <si>
    <t>Applied</t>
  </si>
  <si>
    <t>Is Valid</t>
  </si>
  <si>
    <t>From Amount</t>
  </si>
  <si>
    <t>To Amount</t>
  </si>
  <si>
    <t>From Asset</t>
  </si>
  <si>
    <t>To Asset</t>
  </si>
  <si>
    <t>Coin 1</t>
  </si>
  <si>
    <t>Amount 1</t>
  </si>
  <si>
    <t>Charge 1</t>
  </si>
  <si>
    <t>Volume 1</t>
  </si>
  <si>
    <t>Spot Amount</t>
  </si>
  <si>
    <t>Funding Amount</t>
  </si>
  <si>
    <t>Earn Amount</t>
  </si>
  <si>
    <t>Spot Cost</t>
  </si>
  <si>
    <t>Funding Cost</t>
  </si>
  <si>
    <t>Earn Cost</t>
  </si>
  <si>
    <t>Total Amount</t>
  </si>
  <si>
    <t>Total Cost</t>
  </si>
  <si>
    <t>Deviation</t>
  </si>
  <si>
    <t>Diviation</t>
  </si>
  <si>
    <t>Out Operation</t>
  </si>
  <si>
    <t>Precision</t>
  </si>
  <si>
    <t>Dynamic Amount</t>
  </si>
  <si>
    <t>Dynamic Cost</t>
  </si>
  <si>
    <t>Dynamic</t>
  </si>
  <si>
    <t>Exchange Timezone</t>
  </si>
  <si>
    <t>Observed</t>
  </si>
  <si>
    <t>Fiat</t>
  </si>
  <si>
    <t>Bitcoin</t>
  </si>
  <si>
    <t>Euro</t>
  </si>
  <si>
    <t>US Dollar</t>
  </si>
  <si>
    <t>Tether</t>
  </si>
  <si>
    <t>Markets</t>
  </si>
  <si>
    <t>Dust Log</t>
  </si>
  <si>
    <t>Fiat Buys</t>
  </si>
  <si>
    <t>Fiat Sells</t>
  </si>
  <si>
    <t>Fiat Deposits</t>
  </si>
  <si>
    <t>Fiat Withdraws</t>
  </si>
  <si>
    <t>Crypto Deposits</t>
  </si>
  <si>
    <t>Crypto Withdraws</t>
  </si>
  <si>
    <t>Distributions</t>
  </si>
  <si>
    <t>Conversions</t>
  </si>
  <si>
    <t>Flexible Earns</t>
  </si>
  <si>
    <t>Locked Earns</t>
  </si>
  <si>
    <t>Conversion ID</t>
  </si>
  <si>
    <t>Transaction ID</t>
  </si>
  <si>
    <t>Evaluation Method</t>
  </si>
  <si>
    <t>Reference</t>
  </si>
  <si>
    <t>Stablecoin</t>
  </si>
  <si>
    <t>Market</t>
  </si>
  <si>
    <t>XAU</t>
  </si>
  <si>
    <t>PAXG</t>
  </si>
  <si>
    <t>BGN</t>
  </si>
  <si>
    <t>Forex</t>
  </si>
  <si>
    <t>Cost</t>
  </si>
  <si>
    <t>Quote</t>
  </si>
  <si>
    <t>BNB</t>
  </si>
  <si>
    <t>Exchange</t>
  </si>
  <si>
    <t>SOL</t>
  </si>
  <si>
    <t>Main Fiat Ticker</t>
  </si>
  <si>
    <t>Avg Acquire Cost</t>
  </si>
  <si>
    <t>Avg Spend Cost</t>
  </si>
  <si>
    <t>Assets Last Update</t>
  </si>
  <si>
    <t>Trades</t>
  </si>
  <si>
    <t>Group</t>
  </si>
  <si>
    <t>Avg Acquire Price</t>
  </si>
  <si>
    <t>Avg Spend Price</t>
  </si>
  <si>
    <t>Wallet Transfers</t>
  </si>
  <si>
    <t>Last Update Time</t>
  </si>
  <si>
    <t>Invested</t>
  </si>
  <si>
    <t>Commission</t>
  </si>
  <si>
    <t>Unrealized L/P</t>
  </si>
  <si>
    <t>1 day</t>
  </si>
  <si>
    <t>Klines Interval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</si>
</sst>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[$€-2]\ #,##0.00;[Red][$€-2]\ #,##0.00"/>
    <numFmt numFmtId="165" formatCode="&quot;$&quot;\ #,##0.00;[Red]&quot;$&quot;\ #,##0.00"/>
    <numFmt numFmtId="166" formatCode="\₿\ #,##0.0#######;[Red]\₿\ #,##0.0#######"/>
    <numFmt numFmtId="167" formatCode="#,##0.00######&quot; USDC&quot;;[Red]#,##0.00######&quot; USDC&quot;"/>
    <numFmt numFmtId="168" formatCode="#,##0.00######&quot; USD₮&quot;;[Red]#,##0.00######&quot; USD₮&quot;"/>
    <numFmt numFmtId="169" formatCode="\Ξ\ #,##0.0#######;[Red]\Ξ\ #,##0.0#######"/>
    <numFmt numFmtId="170" formatCode="0.000000%"/>
    <numFmt numFmtId="171" formatCode="yyyy\-mm\-dd\ hh:mm:ss"/>
    <numFmt numFmtId="172" formatCode="[$-F800]dddd\,\ mmmm\ dd\,\ yyyy"/>
    <numFmt numFmtId="173" formatCode="#,##0.0???????"/>
    <numFmt numFmtId="174" formatCode="#,##0.00######&quot; лв&quot;;[Red]#,##0.00######&quot; лв&quot;"/>
    <numFmt numFmtId="175" formatCode="#,##0.0#######&quot; XAU&quot;;[Red]#,##0.0#######&quot; XAU&quot;"/>
  </numFmts>
  <fonts count="2" x14ac:knownFonts="1">
    <font>
      <sz val="10"/>
      <name val="Arial"/>
      <family val="2"/>
      <charset val="204"/>
    </font>
    <font>
      <sz val="8"/>
      <name val="Arial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168" fontId="0" fillId="0" borderId="0" xfId="0" applyNumberFormat="1"/>
    <xf numFmtId="169" fontId="0" fillId="0" borderId="0" xfId="0" applyNumberFormat="1"/>
    <xf numFmtId="14" fontId="0" fillId="0" borderId="0" xfId="0" applyNumberForma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173" fontId="0" fillId="0" borderId="0" xfId="0" applyNumberFormat="1" applyAlignment="1">
      <alignment horizontal="center"/>
    </xf>
    <xf numFmtId="173" fontId="0" fillId="0" borderId="0" xfId="0" applyNumberFormat="1"/>
    <xf numFmtId="174" fontId="0" fillId="0" borderId="0" xfId="0" applyNumberFormat="1"/>
    <xf numFmtId="175" fontId="0" fillId="0" borderId="0" xfId="0" applyNumberFormat="1"/>
    <xf numFmtId="0" fontId="0" fillId="0" borderId="0" xfId="0" applyNumberFormat="1"/>
    <xf numFmtId="0" fontId="0" fillId="0" borderId="0" xfId="0" applyNumberFormat="1">
      <extLst>
        <ext xmlns:xfpb="http://schemas.microsoft.com/office/spreadsheetml/2022/featurepropertybag" uri="{C7286773-470A-42A8-94C5-96B5CB345126}">
          <xfpb:xfComplement i="0"/>
        </ext>
      </extLst>
    </xf>
    <xf numFmtId="173" fontId="0" fillId="0" borderId="0" xfId="0" applyNumberFormat="1" applyAlignment="1"/>
  </cellXfs>
  <cellStyles count="1">
    <cellStyle name="Normal" xfId="0" builtinId="0"/>
  </cellStyles>
  <dxfs count="102">
    <dxf>
      <numFmt numFmtId="0" formatCode="General"/>
    </dxf>
    <dxf>
      <numFmt numFmtId="0" formatCode="General"/>
    </dxf>
    <dxf>
      <numFmt numFmtId="173" formatCode="#,##0.0???????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3" formatCode="#,##0.0???????"/>
    </dxf>
    <dxf>
      <font>
        <color rgb="FFFF0000"/>
      </font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173" formatCode="#,##0.0???????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0" formatCode="General"/>
    </dxf>
    <dxf>
      <numFmt numFmtId="0" formatCode="General"/>
    </dxf>
    <dxf>
      <numFmt numFmtId="0" formatCode="General"/>
    </dxf>
    <dxf>
      <numFmt numFmtId="173" formatCode="#,##0.0???????"/>
    </dxf>
    <dxf>
      <numFmt numFmtId="173" formatCode="#,##0.0???????"/>
    </dxf>
    <dxf>
      <numFmt numFmtId="173" formatCode="#,##0.0???????"/>
    </dxf>
    <dxf>
      <numFmt numFmtId="173" formatCode="#,##0.0???????"/>
    </dxf>
    <dxf>
      <numFmt numFmtId="0" formatCode="General"/>
    </dxf>
    <dxf>
      <numFmt numFmtId="0" formatCode="General"/>
    </dxf>
    <dxf>
      <numFmt numFmtId="0" formatCode="General"/>
    </dxf>
    <dxf>
      <numFmt numFmtId="173" formatCode="#,##0.0???????"/>
    </dxf>
    <dxf>
      <numFmt numFmtId="173" formatCode="#,##0.0???????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3" formatCode="#,##0.0???????"/>
    </dxf>
    <dxf>
      <numFmt numFmtId="173" formatCode="#,##0.0???????"/>
    </dxf>
    <dxf>
      <numFmt numFmtId="173" formatCode="#,##0.0???????"/>
    </dxf>
    <dxf>
      <numFmt numFmtId="173" formatCode="#,##0.0???????"/>
    </dxf>
    <dxf>
      <numFmt numFmtId="173" formatCode="#,##0.0???????"/>
    </dxf>
    <dxf>
      <numFmt numFmtId="0" formatCode="General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3" formatCode="#,##0.0???????"/>
    </dxf>
    <dxf>
      <numFmt numFmtId="173" formatCode="#,##0.0???????"/>
    </dxf>
    <dxf>
      <numFmt numFmtId="173" formatCode="#,##0.0???????"/>
    </dxf>
    <dxf>
      <numFmt numFmtId="173" formatCode="#,##0.0???????"/>
    </dxf>
    <dxf>
      <numFmt numFmtId="0" formatCode="General"/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171" formatCode="yyyy\-mm\-dd\ hh:mm:ss"/>
    </dxf>
    <dxf>
      <numFmt numFmtId="173" formatCode="#,##0.0???????"/>
      <alignment horizontal="general" vertical="bottom" textRotation="0" wrapText="0" indent="0" justifyLastLine="0" shrinkToFit="0" readingOrder="0"/>
      <extLst>
        <ext xmlns:xfpb="http://schemas.microsoft.com/office/spreadsheetml/2022/featurepropertybag" uri="{0417FA29-78FA-4A13-93AC-8FF0FAFDF519}">
          <xfpb:DXFComplement i="1"/>
        </ext>
      </extLst>
    </dxf>
    <dxf>
      <extLst>
        <ext xmlns:xfpb="http://schemas.microsoft.com/office/spreadsheetml/2022/featurepropertybag" uri="{0417FA29-78FA-4A13-93AC-8FF0FAFDF519}">
          <xfpb:DXFComplement i="1"/>
        </ext>
      </extLst>
    </dxf>
    <dxf>
      <numFmt numFmtId="0" formatCode="General"/>
      <extLst>
        <ext xmlns:xfpb="http://schemas.microsoft.com/office/spreadsheetml/2022/featurepropertybag" uri="{0417FA29-78FA-4A13-93AC-8FF0FAFDF519}">
          <xfpb:DXFComplement i="0"/>
        </ext>
      </extLst>
    </dxf>
    <dxf>
      <numFmt numFmtId="173" formatCode="#,##0.0???????"/>
      <alignment horizontal="center" vertical="bottom" textRotation="0" wrapText="0" indent="0" justifyLastLine="0" shrinkToFit="0" readingOrder="0"/>
    </dxf>
    <dxf>
      <numFmt numFmtId="173" formatCode="#,##0.0???????"/>
      <alignment horizontal="center" vertical="bottom" textRotation="0" wrapText="0" indent="0" justifyLastLine="0" shrinkToFit="0" readingOrder="0"/>
    </dxf>
    <dxf>
      <numFmt numFmtId="173" formatCode="#,##0.0???????"/>
      <alignment horizontal="center" vertical="bottom" textRotation="0" wrapText="0" indent="0" justifyLastLine="0" shrinkToFit="0" readingOrder="0"/>
    </dxf>
    <dxf>
      <numFmt numFmtId="173" formatCode="#,##0.0???????"/>
      <alignment horizontal="center" vertical="bottom" textRotation="0" wrapText="0" indent="0" justifyLastLine="0" shrinkToFit="0" readingOrder="0"/>
    </dxf>
    <dxf>
      <numFmt numFmtId="0" formatCode="General"/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171" formatCode="yyyy\-mm\-dd\ hh:mm:ss"/>
    </dxf>
    <dxf>
      <numFmt numFmtId="171" formatCode="yyyy\-mm\-dd\ hh:mm:ss"/>
      <extLst>
        <ext xmlns:xfpb="http://schemas.microsoft.com/office/spreadsheetml/2022/featurepropertybag" uri="{0417FA29-78FA-4A13-93AC-8FF0FAFDF519}">
          <xfpb:DXFComplement i="1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173" formatCode="#,##0.0???????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0" formatCode="0.000000%"/>
    </dxf>
    <dxf>
      <numFmt numFmtId="170" formatCode="0.000000%"/>
    </dxf>
    <dxf>
      <numFmt numFmtId="170" formatCode="0.000000%"/>
    </dxf>
    <dxf>
      <numFmt numFmtId="170" formatCode="0.000000%"/>
    </dxf>
    <dxf>
      <numFmt numFmtId="172" formatCode="[$-F800]dddd\,\ mmmm\ dd\,\ yyyy"/>
    </dxf>
    <dxf>
      <numFmt numFmtId="171" formatCode="yyyy\-mm\-dd\ hh:mm:ss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22/11/relationships/FeaturePropertyBag" Target="featurePropertyBag/featurePropertyBag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XFControls"/>
  <bag type="XFComplement">
    <bagId k="XFControls">4</bagId>
  </bag>
  <bag type="DXFComplements" extRef="DXFComplementsMapperExtRef">
    <a k="MappedFeaturePropertyBags">
      <bagId>2</bagId>
      <bagId>5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22B1076-73BB-4134-BEEC-08A0FAA6BF81}" name="UserInfo" displayName="UserInfo" ref="A1:H2" totalsRowShown="0">
  <autoFilter ref="A1:H2" xr:uid="{A22B1076-73BB-4134-BEEC-08A0FAA6BF8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9" xr3:uid="{305E2AF0-89F6-409D-9435-A14454E133F4}" name="UID" dataDxfId="101"/>
    <tableColumn id="10" xr3:uid="{C254CAED-99FB-472A-8694-6B4E59FE47F3}" name="Quote" dataDxfId="100"/>
    <tableColumn id="4" xr3:uid="{A1469DAB-496F-484E-85ED-93F41F1EEFFB}" name="Assets Last Update" dataDxfId="99"/>
    <tableColumn id="5" xr3:uid="{67155EC9-1196-4F2D-9401-88B27FBBDCC3}" name="Activity Start Date" dataDxfId="98"/>
    <tableColumn id="6" xr3:uid="{262113F3-B82B-46FE-B8FD-5B4323E6DC2B}" name="Maker Fee" dataDxfId="97"/>
    <tableColumn id="7" xr3:uid="{21D2A591-ACD5-449F-94D3-3EB328F88B9F}" name="Taker Fee" dataDxfId="96"/>
    <tableColumn id="8" xr3:uid="{718F0E26-0FF9-4BBB-BA98-18E85B0B8DA2}" name="Buyer Fee" dataDxfId="95"/>
    <tableColumn id="2" xr3:uid="{EB175784-AFA4-469D-AC4D-C1032711F555}" name="Seller Fee" dataDxfId="9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5115445-9952-4A52-9DBF-4AA7DEA24FF6}" name="Assets" displayName="Assets" ref="A4:O6" insertRow="1" totalsRowCount="1" headerRowDxfId="93" dataDxfId="92" totalsRowDxfId="91">
  <autoFilter ref="A4:O5" xr:uid="{85115445-9952-4A52-9DBF-4AA7DEA24FF6}"/>
  <tableColumns count="15">
    <tableColumn id="2" xr3:uid="{FDF60DEB-7927-4B56-A36C-868C246945B9}" name="Ticker" totalsRowFunction="count" dataDxfId="90"/>
    <tableColumn id="15" xr3:uid="{3978548E-6253-41DF-BA59-AA3718880C62}" name="Price" dataDxfId="89" totalsRowDxfId="8"/>
    <tableColumn id="3" xr3:uid="{89968980-2315-475B-A06C-19BC51CDE092}" name="Total Amount" dataDxfId="22">
      <calculatedColumnFormula>SUM(Assets[[#This Row],[Spot Amount]],Assets[[#This Row],[Funding Amount]],Assets[[#This Row],[Earn Amount]],Assets[[#This Row],[Dynamic Amount]])</calculatedColumnFormula>
    </tableColumn>
    <tableColumn id="4" xr3:uid="{6BD03EB5-C572-4866-BCD8-662B93F69C6B}" name="Total Cost" totalsRowFunction="sum" dataDxfId="21" totalsRowDxfId="7">
      <calculatedColumnFormula>SUM(Assets[[#This Row],[Spot Cost]],Assets[[#This Row],[Funding Cost]],Assets[[#This Row],[Earn Cost]],Assets[[#This Row],[Dynamic Cost]])</calculatedColumnFormula>
    </tableColumn>
    <tableColumn id="7" xr3:uid="{ADB4BBC5-7655-43CE-9F92-633B7CAA84FC}" name="Spot Amount" dataDxfId="20"/>
    <tableColumn id="5" xr3:uid="{7D6BA41C-60AE-4FDF-A8ED-199FDF3084F4}" name="Spot Cost" totalsRowFunction="sum" dataDxfId="19" totalsRowDxfId="6"/>
    <tableColumn id="6" xr3:uid="{7A7571B9-8EC3-4D72-A88D-3E2304A30231}" name="Funding Amount" dataDxfId="18"/>
    <tableColumn id="11" xr3:uid="{6AA452C6-80E7-4FB9-8211-C7FF251AABA8}" name="Funding Cost" totalsRowFunction="sum" dataDxfId="17" totalsRowDxfId="5"/>
    <tableColumn id="14" xr3:uid="{C27555ED-A184-4ED5-9D38-365A2ABB9AE2}" name="Earn Amount" dataDxfId="16"/>
    <tableColumn id="12" xr3:uid="{7B881B25-9DC5-43A9-B7E2-C426A490136A}" name="Earn Cost" totalsRowFunction="sum" dataDxfId="15" totalsRowDxfId="4"/>
    <tableColumn id="8" xr3:uid="{ED427027-7453-4B62-9F2A-C56EE5D72349}" name="Dynamic Amount" dataDxfId="14"/>
    <tableColumn id="13" xr3:uid="{6DAAB8AF-1E72-48C4-A499-4897732500D2}" name="Dynamic Cost" totalsRowFunction="sum" dataDxfId="13" totalsRowDxfId="3"/>
    <tableColumn id="1" xr3:uid="{FCA75428-21C8-49ED-BEDD-C81E9C1D8EA0}" name="Deviation" dataDxfId="12" totalsRowDxfId="2"/>
    <tableColumn id="9" xr3:uid="{F775EE91-B2A2-4032-A4F2-E85BEA6255E2}" name="Avg Acquire Cost" dataDxfId="11" totalsRowDxfId="1"/>
    <tableColumn id="10" xr3:uid="{06A94B2E-1277-457D-B4C9-671D79192781}" name="Avg Spend Cost" dataDxfId="10" totalsRowDxfId="0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0AAC5E2-77F7-4EAD-B980-99862E98D4E4}" name="Currencies" displayName="Currencies" ref="A1:I7" totalsRowShown="0">
  <autoFilter ref="A1:I7" xr:uid="{90AAC5E2-77F7-4EAD-B980-99862E98D4E4}"/>
  <tableColumns count="9">
    <tableColumn id="1" xr3:uid="{C8ACBAF2-6227-481F-91F6-63CB28256933}" name="Ticker"/>
    <tableColumn id="2" xr3:uid="{FA3A56E9-64E5-4A2C-8556-01EEC008DFB9}" name="Name"/>
    <tableColumn id="3" xr3:uid="{D857CE50-AC01-418F-BA05-9E6A775BBDCA}" name="Type"/>
    <tableColumn id="6" xr3:uid="{9003141B-D1E5-494E-AE16-8125D8932F99}" name="Bases"/>
    <tableColumn id="4" xr3:uid="{2F49A506-025A-49DC-B35A-C515FBD08F52}" name="Quotes"/>
    <tableColumn id="40" xr3:uid="{07535C52-41EF-45FD-B500-B4669D4EAC40}" name="Precision"/>
    <tableColumn id="10" xr3:uid="{652F7204-E165-4329-9275-A74CFEA33A5E}" name="Keep on Compact" dataDxfId="88"/>
    <tableColumn id="65" xr3:uid="{1359C594-DA3A-4FC2-B7FC-DD8A47C9AAA0}" name="Markets" dataDxfId="23">
      <calculatedColumnFormula>0</calculatedColumnFormula>
    </tableColumn>
    <tableColumn id="5" xr3:uid="{CF4E07CF-B6D5-4F72-853E-906BCE61CD38}" name="Trades" dataDxfId="87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9" xr:uid="{B067E519-38EF-47E3-B766-327C573FAEE7}" name="Conversions" displayName="Conversions" ref="C9:M10" insertRow="1" totalsRowShown="0">
  <autoFilter ref="C9:M10" xr:uid="{B067E519-38EF-47E3-B766-327C573FAEE7}"/>
  <sortState xmlns:xlrd2="http://schemas.microsoft.com/office/spreadsheetml/2017/richdata2" ref="C10:M10">
    <sortCondition ref="C10"/>
  </sortState>
  <tableColumns count="11">
    <tableColumn id="1" xr3:uid="{C5652673-C5A6-4AFB-A611-D2DC6E99F37E}" name="Stamp" dataDxfId="86"/>
    <tableColumn id="2" xr3:uid="{0F1AC480-D7B7-4F2E-BA02-2230B5B325A1}" name="Applied" dataDxfId="85"/>
    <tableColumn id="3" xr3:uid="{9BBE3EE2-F501-41FB-847D-C25F2C5098C2}" name="Conversion ID" dataDxfId="84"/>
    <tableColumn id="4" xr3:uid="{DAADDE0C-3AD0-4A03-9C16-C4F26D559DA1}" name="From Asset"/>
    <tableColumn id="5" xr3:uid="{39B97D4B-0C82-4F21-B9E1-AB41C5B9D131}" name="From Amount" dataDxfId="83"/>
    <tableColumn id="6" xr3:uid="{C2462DD8-88C1-4B61-B643-79DFD479B9C6}" name="Spot Wallet" dataDxfId="82"/>
    <tableColumn id="7" xr3:uid="{542DB8DD-BDED-4361-A83D-CDEB41F78E11}" name="Funding Wallet" dataDxfId="81"/>
    <tableColumn id="8" xr3:uid="{8F09C69A-0857-4691-8A8E-5E5E530E1174}" name="Earn Wallet" dataDxfId="80"/>
    <tableColumn id="9" xr3:uid="{ACF39040-97FA-4527-A0E9-EEADF10EA789}" name="Is Valid" dataDxfId="79">
      <calculatedColumnFormula>(Conversions[[#This Row],[From Amount]]=SUM(Conversions[[#This Row],[Spot Wallet]]:Conversions[[#This Row],[Earn Wallet]]))</calculatedColumnFormula>
    </tableColumn>
    <tableColumn id="12" xr3:uid="{DA89DFA5-9F2A-4913-8F90-F9772FF286A6}" name="To Asset" dataDxfId="78"/>
    <tableColumn id="11" xr3:uid="{F4567656-CAE8-4928-85B1-736BEBE5A197}" name="To Amount" dataDxfId="77"/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0" xr:uid="{7A016EAE-CE7C-4C20-9651-50D3D8A0E41C}" name="DustLog" displayName="DustLog" ref="O9:V10" insertRow="1" totalsRowShown="0">
  <autoFilter ref="O9:V10" xr:uid="{7A016EAE-CE7C-4C20-9651-50D3D8A0E41C}"/>
  <sortState xmlns:xlrd2="http://schemas.microsoft.com/office/spreadsheetml/2017/richdata2" ref="O10:V10">
    <sortCondition ref="O10"/>
  </sortState>
  <tableColumns count="8">
    <tableColumn id="1" xr3:uid="{3033F95D-78D6-4DCC-8CAF-28F566221EAA}" name="Stamp" dataDxfId="76"/>
    <tableColumn id="2" xr3:uid="{A6536661-3405-4582-951F-A6A14504D084}" name="Applied" dataDxfId="75"/>
    <tableColumn id="3" xr3:uid="{C79C3939-2F7D-45DF-9C6A-D1801FB8E863}" name="Transaction ID" dataDxfId="74"/>
    <tableColumn id="4" xr3:uid="{D164491F-1DF0-445B-8289-CF28D6FA38B6}" name="Ticker"/>
    <tableColumn id="5" xr3:uid="{411425D9-43F6-40DF-AEA0-FF73055F5917}" name="Coin 1" dataDxfId="73"/>
    <tableColumn id="6" xr3:uid="{F516F051-5B89-4C3A-BD8A-548168707ECF}" name="Amount 1" dataDxfId="72"/>
    <tableColumn id="7" xr3:uid="{A2447165-E087-4636-9FD4-900058244811}" name="Charge 1" dataDxfId="71"/>
    <tableColumn id="8" xr3:uid="{C6364AAF-0A30-463E-8BB8-B76149123486}" name="Volume 1" dataDxfId="70"/>
  </tableColumns>
  <tableStyleInfo name="TableStyleMedium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58852DA-0719-4090-B606-082BB3A6CD2A}" name="Evaluation" displayName="Evaluation" ref="C4:K7" totalsRowShown="0">
  <autoFilter ref="C4:K7" xr:uid="{D58852DA-0719-4090-B606-082BB3A6CD2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58B4468E-DE33-4AD2-B2DA-1B01FB386A53}" name="Ticker"/>
    <tableColumn id="2" xr3:uid="{84C1759C-31F1-4534-9393-4B62B3ACA5A6}" name="BTC"/>
    <tableColumn id="10" xr3:uid="{C4B5F773-8C42-4735-A3A0-CB81D4752295}" name="ETH"/>
    <tableColumn id="9" xr3:uid="{02F8847B-37AE-4EFC-9BE2-278FE19DFDB2}" name="EUR"/>
    <tableColumn id="3" xr3:uid="{34402611-C431-4CB1-83B2-E787FE914EDE}" name="USD"/>
    <tableColumn id="11" xr3:uid="{2448D070-6D1E-4399-B8D6-557D240521B3}" name="USDC"/>
    <tableColumn id="12" xr3:uid="{98B5DA1A-75AA-4CB0-AAAE-9C28D1D8ED4D}" name="USDT"/>
    <tableColumn id="6" xr3:uid="{C15DB68E-6BE9-43AE-8200-90627C3DA058}" name="BGN"/>
    <tableColumn id="7" xr3:uid="{38FDF686-7787-46C0-8F19-2946B7EB5575}" name="XAU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BC603A6-CAB9-414B-98D1-60C2A4CA406A}" name="Format" displayName="Format" ref="A6:A7" totalsRowShown="0">
  <autoFilter ref="A6:A7" xr:uid="{8BC603A6-CAB9-414B-98D1-60C2A4CA406A}">
    <filterColumn colId="0" hiddenButton="1"/>
  </autoFilter>
  <tableColumns count="1">
    <tableColumn id="1" xr3:uid="{23E22FE6-590E-4082-BD5F-2260B4A16361}" name="Test Value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0768C09-6BAC-46AF-9A25-19DA56D1A5FB}" name="CommonQuotes" displayName="CommonQuotes" ref="A9:A15" totalsRowShown="0">
  <autoFilter ref="A9:A15" xr:uid="{70768C09-6BAC-46AF-9A25-19DA56D1A5FB}">
    <filterColumn colId="0" hiddenButton="1"/>
  </autoFilter>
  <tableColumns count="1">
    <tableColumn id="1" xr3:uid="{6259B714-5E31-4725-BAF5-BFB49E7AC283}" name="Ticker"/>
  </tableColumns>
  <tableStyleInfo name="TableStyleMedium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0C3C280-EBA0-4871-B824-73DDECFFB38F}" name="DefaultFiat" displayName="DefaultFiat" ref="A4:A5" totalsRowShown="0">
  <autoFilter ref="A4:A5" xr:uid="{20C3C280-EBA0-4871-B824-73DDECFFB38F}">
    <filterColumn colId="0" hiddenButton="1"/>
  </autoFilter>
  <tableColumns count="1">
    <tableColumn id="1" xr3:uid="{7D30D757-55DC-450F-A672-B64456F4AAE8}" name="Main Fiat Ticker"/>
  </tableColumns>
  <tableStyleInfo name="TableStyleMedium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0972557-0DD9-42EA-829E-2DEE2B3AF76F}" name="Timezone" displayName="Timezone" ref="A1:A2" totalsRowShown="0">
  <autoFilter ref="A1:A2" xr:uid="{B0972557-0DD9-42EA-829E-2DEE2B3AF76F}">
    <filterColumn colId="0" hiddenButton="1"/>
  </autoFilter>
  <tableColumns count="1">
    <tableColumn id="1" xr3:uid="{B986B033-BBD1-44B0-97E3-D64A2BE75DDD}" name="Exchange Timezone"/>
  </tableColumns>
  <tableStyleInfo name="TableStyleLight2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E79726F2-4B7B-43E0-8740-C52473E1560B}" name="LastUpdate" displayName="LastUpdate" ref="C1:O2" totalsRowShown="0">
  <autoFilter ref="C1:O2" xr:uid="{E79726F2-4B7B-43E0-8740-C52473E1560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D8A74284-C84E-4C50-989F-1DEE5A4F7D50}" name="Operation" dataDxfId="69"/>
    <tableColumn id="3" xr3:uid="{496F3DEA-85DD-4658-83B5-F0A38E13C814}" name="Wallet Transfers" dataDxfId="68"/>
    <tableColumn id="4" xr3:uid="{976B3AB6-32BC-4903-964B-D6306327EC3A}" name="Conversions" dataDxfId="67"/>
    <tableColumn id="5" xr3:uid="{30F60354-2A73-4BDE-8A3A-97599788FD0F}" name="Dust Log" dataDxfId="66"/>
    <tableColumn id="6" xr3:uid="{77D4C728-BBEA-4F52-B500-2FF17985ECA9}" name="Fiat Buys" dataDxfId="65"/>
    <tableColumn id="7" xr3:uid="{7AF7CAFE-256D-440A-9E46-0E0E62EDA58D}" name="Fiat Sells" dataDxfId="64"/>
    <tableColumn id="8" xr3:uid="{393A80E1-A845-4DCA-A6DB-5A7ECE9427BE}" name="Fiat Deposits" dataDxfId="63"/>
    <tableColumn id="9" xr3:uid="{24B88B35-3E3C-49DB-B738-AF5F80E0BE3E}" name="Fiat Withdraws" dataDxfId="62"/>
    <tableColumn id="10" xr3:uid="{2C4C24B5-7E14-4A96-9AF2-07CD957A4F40}" name="Crypto Deposits" dataDxfId="61"/>
    <tableColumn id="11" xr3:uid="{AE6480AE-7BCC-466E-91F5-C3695832F768}" name="Crypto Withdraws" dataDxfId="60"/>
    <tableColumn id="12" xr3:uid="{BF0CAAF2-8228-4C83-9AFF-0BA2895994DD}" name="Distributions" dataDxfId="59"/>
    <tableColumn id="13" xr3:uid="{5AEF5894-F0F1-4E77-8B5D-C6BB2EAFBA9A}" name="Flexible Earns" dataDxfId="58"/>
    <tableColumn id="14" xr3:uid="{4F04E910-29EC-43FA-ADF2-7C9081584FCC}" name="Locked Earns" dataDxfId="57"/>
  </tableColumns>
  <tableStyleInfo name="TableStyleMedium5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A2FA4BE-023B-438F-B949-7EE4A29787F8}" name="Trivia" displayName="Trivia" ref="A1:B12" headerRowCount="0">
  <tableColumns count="2">
    <tableColumn id="6" xr3:uid="{1418F7DB-826D-4461-B268-28F4C61D94C1}" name="Key"/>
    <tableColumn id="22" xr3:uid="{C1D9FCA3-B45A-4A71-9AB1-868FD689D454}" name="Valu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3CBD49D-CB72-4E7C-9984-E5F18B705DA6}" name="Details" displayName="Details" ref="A14:P16" totalsRowCount="1">
  <autoFilter ref="A14:P15" xr:uid="{F3CBD49D-CB72-4E7C-9984-E5F18B705DA6}"/>
  <tableColumns count="16">
    <tableColumn id="1" xr3:uid="{D7E5DBD9-E8EF-469B-BEDF-153523AAF4A3}" name="Stamp" dataDxfId="56"/>
    <tableColumn id="2" xr3:uid="{A1169244-DC3E-40D8-A647-316DD8DB603A}" name="Wallet" dataDxfId="55"/>
    <tableColumn id="3" xr3:uid="{129BEAE4-DDA3-445C-99F1-839AABBC5F7B}" name="Operation"/>
    <tableColumn id="5" xr3:uid="{A1DA3230-EAF3-4ED1-8A90-886DF5808A28}" name="Acquired" totalsRowFunction="sum"/>
    <tableColumn id="6" xr3:uid="{74EB8001-59C4-454C-8809-496168B10395}" name="Spent" totalsRowFunction="sum"/>
    <tableColumn id="4" xr3:uid="{C34EE243-8E66-4824-8F93-FF37909C12EC}" name="Ticker"/>
    <tableColumn id="7" xr3:uid="{478C7B65-A24D-4651-AB8A-6905D16BEDDA}" name="Price" dataDxfId="54"/>
    <tableColumn id="8" xr3:uid="{308DF9C8-C4AB-4296-8173-0028ADEA09AD}" name="Amount"/>
    <tableColumn id="14" xr3:uid="{E8FE8BB1-D6E6-494C-8556-F47CE55E3795}" name="Charge" dataDxfId="53" totalsRowDxfId="52"/>
    <tableColumn id="10" xr3:uid="{5344C533-891E-48F5-9DF6-3431598CD530}" name="Group"/>
    <tableColumn id="15" xr3:uid="{F594AC70-DEAB-4FA9-AEA3-AAD0FB8A7AC6}" name="BNB Fee" totalsRowFunction="sum" dataDxfId="51" totalsRowDxfId="50"/>
    <tableColumn id="17" xr3:uid="{A29694B8-2556-4423-9847-1E506E4938F2}" name="Debit" totalsRowFunction="sum"/>
    <tableColumn id="18" xr3:uid="{2EF1E5A0-1B1E-49D6-B0F9-8CE18F4F3A96}" name="Credit" totalsRowFunction="sum"/>
    <tableColumn id="9" xr3:uid="{5F784E54-362E-4E48-84F6-F86FE1CD1259}" name="Commission" totalsRowFunction="sum"/>
    <tableColumn id="11" xr3:uid="{E2C71B5B-A78C-4CFE-BB76-C2A6A50D84CA}" name="Note"/>
    <tableColumn id="13" xr3:uid="{8C31E043-2BA7-426C-A10F-10D677050A0B}" name="ID" totalsRowFunction="count" dataDxfId="49"/>
  </tableColumns>
  <tableStyleInfo name="TableStyleMedium3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4E1ABD7-DC7D-4DCC-AA40-8B8824A6BA64}" name="Summary" displayName="Summary" ref="D1:R8" totalsRowCount="1" headerRowDxfId="48" dataDxfId="47" totalsRowDxfId="46">
  <autoFilter ref="D1:R7" xr:uid="{C4E1ABD7-DC7D-4DCC-AA40-8B8824A6BA6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6D2EF4BB-1451-4236-B25F-6BCBD444E0C0}" name="Activity" totalsRowLabel="Total" dataDxfId="45"/>
    <tableColumn id="2" xr3:uid="{39F2F9AA-68F5-47B9-BAE6-4A02A28891CD}" name="Acquired" totalsRowFunction="sum" dataDxfId="44">
      <calculatedColumnFormula>SUMIF(Details[Operation],Summary[[#This Row],[In Operation]],Details[Acquired])</calculatedColumnFormula>
    </tableColumn>
    <tableColumn id="3" xr3:uid="{7072493C-D629-4203-9F44-166058229523}" name="In Operation" dataDxfId="43"/>
    <tableColumn id="4" xr3:uid="{4A8B8BEF-48C6-4867-BA8A-6AD4067DDBCD}" name="Spent" totalsRowFunction="sum" dataDxfId="42">
      <calculatedColumnFormula>SUMIF(Details[Operation],Summary[[#This Row],[Out Operation]],Details[Spent])</calculatedColumnFormula>
    </tableColumn>
    <tableColumn id="5" xr3:uid="{7D2E40B0-0588-4610-AB72-1D4B444D2898}" name="Out Operation" dataDxfId="41"/>
    <tableColumn id="10" xr3:uid="{FED9212C-6789-44EB-8382-9F8876D367F9}" name="Charge" totalsRowFunction="sum" dataDxfId="40">
      <calculatedColumnFormula array="1">SUMIFS(Details[Charge],Details[Operation],Summary[[#This Row],[In Operation]])+SUMIFS(Details[Charge],Details[Operation],Summary[[#This Row],[Out Operation]],Details[Ticker],Markets[Ticker])</calculatedColumnFormula>
    </tableColumn>
    <tableColumn id="6" xr3:uid="{02524852-4FD6-4990-8FE8-E984BD6EFAEE}" name="Balance" totalsRowFunction="sum" dataDxfId="39">
      <calculatedColumnFormula>Summary[[#This Row],[Acquired]]-Summary[[#This Row],[Spent]]-Summary[[#This Row],[Charge]]</calculatedColumnFormula>
    </tableColumn>
    <tableColumn id="8" xr3:uid="{02308851-39E5-4054-B652-6466A92FD9F1}" name="BNB fees" totalsRowFunction="sum" dataDxfId="38" totalsRowDxfId="37">
      <calculatedColumnFormula>SUMIF(Details[Operation],Summary[[#This Row],[In Operation]],Details[BNB Fee])+SUMIF(Details[Operation],Summary[[#This Row],[Out Operation]],Details[BNB Fee])</calculatedColumnFormula>
    </tableColumn>
    <tableColumn id="11" xr3:uid="{1AF009A3-F0A9-4377-B5B3-4DAC3173C48A}" name="Debit" totalsRowFunction="sum" dataDxfId="36">
      <calculatedColumnFormula>SUMIF(Details[Operation],Summary[[#This Row],[In Operation]],Details[Debit])</calculatedColumnFormula>
    </tableColumn>
    <tableColumn id="12" xr3:uid="{C707F96C-657C-4BA3-AF70-780024625B32}" name="Credit" totalsRowFunction="sum" dataDxfId="35">
      <calculatedColumnFormula>SUMIF(Details[Operation],Summary[[#This Row],[Out Operation]],Details[Credit])</calculatedColumnFormula>
    </tableColumn>
    <tableColumn id="13" xr3:uid="{155851DE-576A-4953-8D8D-98A6F6BE9301}" name="Commission" totalsRowFunction="sum" dataDxfId="34">
      <calculatedColumnFormula>SUMIF(Details[Operation],Summary[[#This Row],[In Operation]],Details[Commission])+SUMIF(Details[Operation],Summary[[#This Row],[Out Operation]],Details[Commission])</calculatedColumnFormula>
    </tableColumn>
    <tableColumn id="9" xr3:uid="{18BEA1DB-E045-495C-8714-F5D4FF27537F}" name="Avg Acquire Price" totalsRowFunction="custom" dataDxfId="33" totalsRowDxfId="32">
      <calculatedColumnFormula>IFERROR(SUMIFS(Details[Debit],Details[Operation],Summary[[#This Row],[In Operation]],Details[Price],"&lt;&gt;0")/SUMIFS(Details[Acquired],Details[Operation],Summary[[#This Row],[In Operation]]),0)</calculatedColumnFormula>
      <totalsRowFormula>IFERROR(SUMIFS(Details[Debit],Details[Price],"&lt;&gt;0")/SUM(Details[Acquired]),0)</totalsRowFormula>
    </tableColumn>
    <tableColumn id="7" xr3:uid="{B08B7A69-2D3C-4906-8086-39C36B111855}" name="Avg Spend Price" totalsRowFunction="custom" dataDxfId="31" totalsRowDxfId="30">
      <calculatedColumnFormula>IFERROR(SUMIFS(Details[Credit],Details[Operation],Summary[[#This Row],[Out Operation]],Details[Price],"&lt;&gt;0")/SUMIFS(Details[Spent],Details[Operation],Summary[[#This Row],[Out Operation]]),0)</calculatedColumnFormula>
      <totalsRowFormula>IFERROR(SUMIFS(Details[Credit],Details[Price],"&lt;&gt;0")/SUM(Details[Spent]),0)</totalsRowFormula>
    </tableColumn>
    <tableColumn id="14" xr3:uid="{74A080D7-52A8-41FC-A3B0-3169023AAB6F}" name="Invested" totalsRowFunction="sum" dataDxfId="29">
      <calculatedColumnFormula>Summary[[#This Row],[Debit]]-Summary[[#This Row],[Credit]]-Summary[[#This Row],[Commission]]</calculatedColumnFormula>
    </tableColumn>
    <tableColumn id="15" xr3:uid="{A45D267C-0EF5-4FDC-A27A-E4BF85A64BEF}" name="Unrealized L/P" totalsRowFunction="sum" dataDxfId="28" totalsRowDxfId="27">
      <calculatedColumnFormula>IF(COUNTIF(Summary[[#This Row],[Debit]]:Summary[[#This Row],[Commission]],0)=3,0,$B$5*Summary[[#This Row],[Balance]]-Summary[[#This Row],[Invested]])</calculatedColumnFormula>
    </tableColumn>
  </tableColumns>
  <tableStyleInfo name="TableStyleMedium5" showFirstColumn="0" showLastColumn="1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CEE0249-EDCD-40B9-8632-2BDAA71D80CF}" name="Markets" displayName="Markets" ref="D11:E12" totalsRowShown="0" dataDxfId="26">
  <autoFilter ref="D11:E12" xr:uid="{2CEE0249-EDCD-40B9-8632-2BDAA71D80CF}">
    <filterColumn colId="0" hiddenButton="1"/>
    <filterColumn colId="1" hiddenButton="1"/>
  </autoFilter>
  <tableColumns count="2">
    <tableColumn id="1" xr3:uid="{9A0BFBB9-50C0-4103-A22D-78CCD3CA2290}" name="Ticker" dataDxfId="25"/>
    <tableColumn id="7" xr3:uid="{07D19152-2558-4F61-878E-9B51E845BDD5}" name="Observed" dataDxfId="24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/>
        <a:ea typeface="DejaVu Sans"/>
        <a:cs typeface="DejaVu Sans"/>
      </a:majorFont>
      <a:minorFont>
        <a:latin typeface="Arial"/>
        <a:ea typeface="DejaVu Sans"/>
        <a:cs typeface="DejaVu Sans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0.xml"/><Relationship Id="rId3" Type="http://schemas.openxmlformats.org/officeDocument/2006/relationships/table" Target="../tables/table5.xml"/><Relationship Id="rId7" Type="http://schemas.openxmlformats.org/officeDocument/2006/relationships/table" Target="../tables/table9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Relationship Id="rId9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vmlDrawing" Target="../drawings/vmlDrawing1.v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75382-F2BE-418D-9FB2-40BF66DCB5C0}">
  <sheetPr codeName="SheetAssets"/>
  <dimension ref="A1:O6"/>
  <sheetViews>
    <sheetView tabSelected="1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A22" sqref="A22"/>
    </sheetView>
  </sheetViews>
  <sheetFormatPr defaultRowHeight="12.75" x14ac:dyDescent="0.2"/>
  <cols>
    <col min="1" max="1" width="11" bestFit="1" customWidth="1"/>
    <col min="2" max="2" width="16.28515625" bestFit="1" customWidth="1"/>
    <col min="3" max="3" width="18.140625" bestFit="1" customWidth="1"/>
    <col min="4" max="4" width="18.140625" customWidth="1"/>
    <col min="5" max="5" width="15" bestFit="1" customWidth="1"/>
    <col min="6" max="6" width="16.42578125" customWidth="1"/>
    <col min="7" max="7" width="18.42578125" bestFit="1" customWidth="1"/>
    <col min="8" max="8" width="15.140625" bestFit="1" customWidth="1"/>
    <col min="9" max="9" width="15" bestFit="1" customWidth="1"/>
    <col min="10" max="10" width="11.85546875" bestFit="1" customWidth="1"/>
    <col min="11" max="11" width="18.85546875" bestFit="1" customWidth="1"/>
    <col min="12" max="12" width="16.28515625" bestFit="1" customWidth="1"/>
    <col min="13" max="13" width="12.5703125" customWidth="1"/>
    <col min="14" max="14" width="18.85546875" bestFit="1" customWidth="1"/>
    <col min="15" max="15" width="17.7109375" bestFit="1" customWidth="1"/>
    <col min="16" max="20" width="19.140625" customWidth="1"/>
    <col min="21" max="21" width="18.140625" bestFit="1" customWidth="1"/>
    <col min="22" max="22" width="18" customWidth="1"/>
    <col min="23" max="23" width="19.7109375" customWidth="1"/>
  </cols>
  <sheetData>
    <row r="1" spans="1:15" x14ac:dyDescent="0.2">
      <c r="A1" t="s">
        <v>46</v>
      </c>
      <c r="B1" t="s">
        <v>116</v>
      </c>
      <c r="C1" t="s">
        <v>123</v>
      </c>
      <c r="D1" t="s">
        <v>53</v>
      </c>
      <c r="E1" t="s">
        <v>47</v>
      </c>
      <c r="F1" t="s">
        <v>48</v>
      </c>
      <c r="G1" t="s">
        <v>49</v>
      </c>
      <c r="H1" t="s">
        <v>50</v>
      </c>
    </row>
    <row r="2" spans="1:15" x14ac:dyDescent="0.2">
      <c r="C2" s="10"/>
      <c r="D2" s="11">
        <v>45809</v>
      </c>
      <c r="E2" s="9"/>
      <c r="F2" s="9"/>
      <c r="G2" s="9"/>
      <c r="H2" s="9"/>
    </row>
    <row r="4" spans="1:15" x14ac:dyDescent="0.2">
      <c r="A4" t="s">
        <v>7</v>
      </c>
      <c r="B4" t="s">
        <v>34</v>
      </c>
      <c r="C4" t="s">
        <v>77</v>
      </c>
      <c r="D4" s="16" t="s">
        <v>78</v>
      </c>
      <c r="E4" t="s">
        <v>71</v>
      </c>
      <c r="F4" s="16" t="s">
        <v>74</v>
      </c>
      <c r="G4" t="s">
        <v>72</v>
      </c>
      <c r="H4" s="16" t="s">
        <v>75</v>
      </c>
      <c r="I4" t="s">
        <v>73</v>
      </c>
      <c r="J4" s="16" t="s">
        <v>76</v>
      </c>
      <c r="K4" t="s">
        <v>83</v>
      </c>
      <c r="L4" s="16" t="s">
        <v>84</v>
      </c>
      <c r="M4" t="s">
        <v>79</v>
      </c>
      <c r="N4" s="16" t="s">
        <v>121</v>
      </c>
      <c r="O4" s="16" t="s">
        <v>122</v>
      </c>
    </row>
    <row r="5" spans="1:15" x14ac:dyDescent="0.2">
      <c r="B5" s="13"/>
      <c r="D5" s="16"/>
      <c r="F5" s="16"/>
      <c r="H5" s="16"/>
      <c r="J5" s="16"/>
      <c r="L5" s="16"/>
      <c r="M5" s="13"/>
      <c r="N5" s="16"/>
      <c r="O5" s="16"/>
    </row>
    <row r="6" spans="1:15" x14ac:dyDescent="0.2">
      <c r="A6">
        <f>SUBTOTAL(103,Assets[Ticker])</f>
        <v>0</v>
      </c>
      <c r="B6" s="13"/>
      <c r="D6" s="16">
        <f>SUBTOTAL(109,Assets[Total Cost])</f>
        <v>0</v>
      </c>
      <c r="F6" s="16">
        <f>SUBTOTAL(109,Assets[Spot Cost])</f>
        <v>0</v>
      </c>
      <c r="H6" s="16">
        <f>SUBTOTAL(109,Assets[Funding Cost])</f>
        <v>0</v>
      </c>
      <c r="J6" s="16">
        <f>SUBTOTAL(109,Assets[Earn Cost])</f>
        <v>0</v>
      </c>
      <c r="L6" s="16">
        <f>SUBTOTAL(109,Assets[Dynamic Cost])</f>
        <v>0</v>
      </c>
      <c r="M6" s="13"/>
      <c r="N6" s="16"/>
      <c r="O6" s="16"/>
    </row>
  </sheetData>
  <dataConsolidate/>
  <phoneticPr fontId="1" type="noConversion"/>
  <dataValidations count="1">
    <dataValidation type="list" allowBlank="1" showInputMessage="1" showErrorMessage="1" sqref="B2" xr:uid="{80FF6BA6-D707-4CCA-886D-1295EB22DE2E}">
      <formula1>MyEvalTickers</formula1>
    </dataValidation>
  </dataValidations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9A9F1-0B4B-4E57-9456-1A2083474B25}">
  <sheetPr codeName="Sheet3"/>
  <dimension ref="A1:J7"/>
  <sheetViews>
    <sheetView workbookViewId="0">
      <pane xSplit="1" ySplit="1" topLeftCell="B2" activePane="bottomRight" state="frozen"/>
      <selection pane="topRight" activeCell="B1" sqref="B1"/>
      <selection pane="bottomLeft" activeCell="A5" sqref="A5"/>
      <selection pane="bottomRight" activeCell="L1" sqref="L1"/>
    </sheetView>
  </sheetViews>
  <sheetFormatPr defaultRowHeight="12.75" x14ac:dyDescent="0.2"/>
  <cols>
    <col min="1" max="1" width="14.28515625" bestFit="1" customWidth="1"/>
    <col min="2" max="2" width="31.140625" customWidth="1"/>
    <col min="3" max="3" width="7.7109375" bestFit="1" customWidth="1"/>
    <col min="4" max="4" width="8.5703125" bestFit="1" customWidth="1"/>
    <col min="5" max="5" width="9.5703125" bestFit="1" customWidth="1"/>
    <col min="6" max="6" width="11.7109375" bestFit="1" customWidth="1"/>
    <col min="7" max="7" width="19.7109375" bestFit="1" customWidth="1"/>
    <col min="8" max="8" width="10.5703125" customWidth="1"/>
    <col min="9" max="9" width="11.5703125" customWidth="1"/>
    <col min="10" max="10" width="7" bestFit="1" customWidth="1"/>
    <col min="11" max="11" width="8.42578125" bestFit="1" customWidth="1"/>
    <col min="12" max="13" width="7.140625" bestFit="1" customWidth="1"/>
    <col min="14" max="14" width="10.28515625" bestFit="1" customWidth="1"/>
    <col min="15" max="16" width="23.5703125" bestFit="1" customWidth="1"/>
    <col min="17" max="17" width="23.85546875" bestFit="1" customWidth="1"/>
    <col min="18" max="19" width="22.28515625" bestFit="1" customWidth="1"/>
    <col min="20" max="20" width="13.140625" bestFit="1" customWidth="1"/>
    <col min="21" max="21" width="34.28515625" bestFit="1" customWidth="1"/>
    <col min="22" max="22" width="25" bestFit="1" customWidth="1"/>
    <col min="23" max="23" width="9.42578125" bestFit="1" customWidth="1"/>
    <col min="25" max="25" width="7.140625" bestFit="1" customWidth="1"/>
    <col min="26" max="26" width="6.85546875" bestFit="1" customWidth="1"/>
    <col min="27" max="27" width="7" bestFit="1" customWidth="1"/>
    <col min="28" max="29" width="7.28515625" bestFit="1" customWidth="1"/>
    <col min="30" max="30" width="7" bestFit="1" customWidth="1"/>
    <col min="31" max="33" width="7.140625" bestFit="1" customWidth="1"/>
    <col min="34" max="34" width="6.85546875" bestFit="1" customWidth="1"/>
    <col min="35" max="35" width="7.5703125" bestFit="1" customWidth="1"/>
    <col min="36" max="36" width="7.140625" bestFit="1" customWidth="1"/>
    <col min="37" max="37" width="6.7109375" bestFit="1" customWidth="1"/>
    <col min="38" max="38" width="10.28515625" bestFit="1" customWidth="1"/>
    <col min="39" max="39" width="30.5703125" bestFit="1" customWidth="1"/>
    <col min="40" max="40" width="22.140625" bestFit="1" customWidth="1"/>
    <col min="41" max="41" width="30.85546875" bestFit="1" customWidth="1"/>
    <col min="42" max="43" width="28" bestFit="1" customWidth="1"/>
    <col min="44" max="44" width="24.5703125" bestFit="1" customWidth="1"/>
    <col min="45" max="45" width="41.140625" bestFit="1" customWidth="1"/>
    <col min="46" max="46" width="32.7109375" bestFit="1" customWidth="1"/>
  </cols>
  <sheetData>
    <row r="1" spans="1:10" x14ac:dyDescent="0.2">
      <c r="A1" t="s">
        <v>7</v>
      </c>
      <c r="B1" t="s">
        <v>6</v>
      </c>
      <c r="C1" t="s">
        <v>0</v>
      </c>
      <c r="D1" t="s">
        <v>43</v>
      </c>
      <c r="E1" t="s">
        <v>36</v>
      </c>
      <c r="F1" t="s">
        <v>82</v>
      </c>
      <c r="G1" t="s">
        <v>51</v>
      </c>
      <c r="H1" t="s">
        <v>93</v>
      </c>
      <c r="I1" t="s">
        <v>124</v>
      </c>
    </row>
    <row r="2" spans="1:10" x14ac:dyDescent="0.2">
      <c r="A2" t="s">
        <v>1</v>
      </c>
      <c r="B2" t="s">
        <v>89</v>
      </c>
      <c r="C2" t="s">
        <v>3</v>
      </c>
      <c r="D2">
        <v>0</v>
      </c>
      <c r="E2">
        <v>0</v>
      </c>
      <c r="F2">
        <v>8</v>
      </c>
      <c r="G2" s="5" t="b">
        <v>1</v>
      </c>
      <c r="H2" s="5">
        <f>0</f>
        <v>0</v>
      </c>
      <c r="I2" s="10"/>
      <c r="J2" s="3"/>
    </row>
    <row r="3" spans="1:10" x14ac:dyDescent="0.2">
      <c r="A3" t="s">
        <v>42</v>
      </c>
      <c r="B3" t="s">
        <v>45</v>
      </c>
      <c r="C3" t="s">
        <v>3</v>
      </c>
      <c r="D3">
        <v>0</v>
      </c>
      <c r="E3">
        <v>0</v>
      </c>
      <c r="F3">
        <v>8</v>
      </c>
      <c r="G3" s="5" t="b">
        <v>1</v>
      </c>
      <c r="H3" s="5">
        <f>0</f>
        <v>0</v>
      </c>
      <c r="I3" s="10"/>
      <c r="J3" s="7"/>
    </row>
    <row r="4" spans="1:10" x14ac:dyDescent="0.2">
      <c r="A4" t="s">
        <v>38</v>
      </c>
      <c r="B4" t="s">
        <v>90</v>
      </c>
      <c r="C4" t="s">
        <v>88</v>
      </c>
      <c r="D4">
        <v>0</v>
      </c>
      <c r="E4">
        <v>0</v>
      </c>
      <c r="F4">
        <v>2</v>
      </c>
      <c r="G4" s="5" t="b">
        <v>1</v>
      </c>
      <c r="H4" s="5">
        <f>0</f>
        <v>0</v>
      </c>
      <c r="I4" s="10"/>
      <c r="J4" s="1"/>
    </row>
    <row r="5" spans="1:10" x14ac:dyDescent="0.2">
      <c r="A5" t="s">
        <v>40</v>
      </c>
      <c r="B5" t="s">
        <v>91</v>
      </c>
      <c r="C5" t="s">
        <v>88</v>
      </c>
      <c r="D5">
        <v>0</v>
      </c>
      <c r="E5">
        <v>0</v>
      </c>
      <c r="F5">
        <v>2</v>
      </c>
      <c r="G5" s="5" t="b">
        <v>1</v>
      </c>
      <c r="H5" s="5">
        <f>0</f>
        <v>0</v>
      </c>
      <c r="I5" s="10"/>
      <c r="J5" s="2"/>
    </row>
    <row r="6" spans="1:10" x14ac:dyDescent="0.2">
      <c r="A6" t="s">
        <v>2</v>
      </c>
      <c r="B6" t="s">
        <v>2</v>
      </c>
      <c r="C6" t="s">
        <v>3</v>
      </c>
      <c r="D6">
        <v>0</v>
      </c>
      <c r="E6">
        <v>0</v>
      </c>
      <c r="F6">
        <v>8</v>
      </c>
      <c r="G6" s="5" t="b">
        <v>1</v>
      </c>
      <c r="H6" s="5">
        <f>0</f>
        <v>0</v>
      </c>
      <c r="I6" s="10"/>
      <c r="J6" s="6"/>
    </row>
    <row r="7" spans="1:10" x14ac:dyDescent="0.2">
      <c r="A7" t="s">
        <v>44</v>
      </c>
      <c r="B7" t="s">
        <v>92</v>
      </c>
      <c r="C7" t="s">
        <v>3</v>
      </c>
      <c r="D7">
        <v>0</v>
      </c>
      <c r="E7">
        <v>0</v>
      </c>
      <c r="F7">
        <v>8</v>
      </c>
      <c r="G7" s="5" t="b">
        <v>1</v>
      </c>
      <c r="H7" s="5">
        <f>0</f>
        <v>0</v>
      </c>
      <c r="I7" s="10"/>
      <c r="J7" s="4"/>
    </row>
  </sheetData>
  <phoneticPr fontId="1" type="noConversion"/>
  <dataValidations disablePrompts="1" count="1">
    <dataValidation type="list" allowBlank="1" showInputMessage="1" showErrorMessage="1" sqref="F16" xr:uid="{BFBB713B-647D-4D0F-8469-199AEAF9FADA}">
      <formula1>Test1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5F91BE-E05D-4768-854F-3AF9F0CA9545}">
  <sheetPr codeName="Sheet4"/>
  <dimension ref="A1:V15"/>
  <sheetViews>
    <sheetView workbookViewId="0">
      <pane ySplit="9" topLeftCell="A10" activePane="bottomLeft" state="frozen"/>
      <selection pane="bottomLeft" activeCell="B8" sqref="B8"/>
    </sheetView>
  </sheetViews>
  <sheetFormatPr defaultRowHeight="12.75" x14ac:dyDescent="0.2"/>
  <cols>
    <col min="1" max="1" width="15.5703125" customWidth="1"/>
    <col min="2" max="2" width="10.28515625" bestFit="1" customWidth="1"/>
    <col min="3" max="4" width="18.140625" bestFit="1" customWidth="1"/>
    <col min="5" max="5" width="23" bestFit="1" customWidth="1"/>
    <col min="6" max="15" width="18.140625" bestFit="1" customWidth="1"/>
    <col min="16" max="16" width="10.28515625" bestFit="1" customWidth="1"/>
    <col min="17" max="17" width="16.42578125" bestFit="1" customWidth="1"/>
    <col min="18" max="18" width="12.7109375" customWidth="1"/>
    <col min="19" max="50" width="13.28515625" customWidth="1"/>
  </cols>
  <sheetData>
    <row r="1" spans="1:22" x14ac:dyDescent="0.2">
      <c r="A1" t="s">
        <v>86</v>
      </c>
      <c r="C1" t="s">
        <v>5</v>
      </c>
      <c r="D1" t="s">
        <v>128</v>
      </c>
      <c r="E1" t="s">
        <v>102</v>
      </c>
      <c r="F1" t="s">
        <v>94</v>
      </c>
      <c r="G1" t="s">
        <v>95</v>
      </c>
      <c r="H1" t="s">
        <v>96</v>
      </c>
      <c r="I1" t="s">
        <v>97</v>
      </c>
      <c r="J1" t="s">
        <v>98</v>
      </c>
      <c r="K1" t="s">
        <v>99</v>
      </c>
      <c r="L1" t="s">
        <v>100</v>
      </c>
      <c r="M1" t="s">
        <v>101</v>
      </c>
      <c r="N1" t="s">
        <v>103</v>
      </c>
      <c r="O1" t="s">
        <v>104</v>
      </c>
    </row>
    <row r="2" spans="1:22" x14ac:dyDescent="0.2">
      <c r="C2" s="10" t="s">
        <v>129</v>
      </c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</row>
    <row r="4" spans="1:22" x14ac:dyDescent="0.2">
      <c r="A4" t="s">
        <v>120</v>
      </c>
      <c r="C4" t="s">
        <v>7</v>
      </c>
      <c r="D4" t="s">
        <v>1</v>
      </c>
      <c r="E4" t="s">
        <v>42</v>
      </c>
      <c r="F4" t="s">
        <v>38</v>
      </c>
      <c r="G4" t="s">
        <v>40</v>
      </c>
      <c r="H4" t="s">
        <v>2</v>
      </c>
      <c r="I4" t="s">
        <v>44</v>
      </c>
      <c r="J4" t="s">
        <v>113</v>
      </c>
      <c r="K4" t="s">
        <v>111</v>
      </c>
    </row>
    <row r="5" spans="1:22" x14ac:dyDescent="0.2">
      <c r="A5" t="s">
        <v>40</v>
      </c>
      <c r="C5" t="s">
        <v>107</v>
      </c>
      <c r="D5" t="s">
        <v>110</v>
      </c>
      <c r="E5" t="s">
        <v>110</v>
      </c>
      <c r="F5" t="s">
        <v>118</v>
      </c>
      <c r="G5" t="s">
        <v>109</v>
      </c>
      <c r="H5" t="s">
        <v>110</v>
      </c>
      <c r="I5" t="s">
        <v>110</v>
      </c>
      <c r="J5" t="s">
        <v>114</v>
      </c>
      <c r="K5" t="s">
        <v>109</v>
      </c>
    </row>
    <row r="6" spans="1:22" x14ac:dyDescent="0.2">
      <c r="A6" t="s">
        <v>39</v>
      </c>
      <c r="C6" t="s">
        <v>108</v>
      </c>
      <c r="G6" t="s">
        <v>2</v>
      </c>
      <c r="J6" t="s">
        <v>38</v>
      </c>
      <c r="K6" t="s">
        <v>112</v>
      </c>
    </row>
    <row r="7" spans="1:22" x14ac:dyDescent="0.2">
      <c r="A7">
        <v>-123.45699999999999</v>
      </c>
      <c r="C7" t="s">
        <v>37</v>
      </c>
      <c r="D7" s="3">
        <f>Format[Test Value]</f>
        <v>-123.45699999999999</v>
      </c>
      <c r="E7" s="7">
        <f>Format[Test Value]</f>
        <v>-123.45699999999999</v>
      </c>
      <c r="F7" s="1">
        <f>Format[Test Value]</f>
        <v>-123.45699999999999</v>
      </c>
      <c r="G7" s="2">
        <f>Format[Test Value]</f>
        <v>-123.45699999999999</v>
      </c>
      <c r="H7" s="4">
        <f>Format[Test Value]</f>
        <v>-123.45699999999999</v>
      </c>
      <c r="I7" s="6">
        <f>Format[Test Value]</f>
        <v>-123.45699999999999</v>
      </c>
      <c r="J7" s="14">
        <f>Format[Test Value]</f>
        <v>-123.45699999999999</v>
      </c>
      <c r="K7" s="15">
        <f>Format[Test Value]</f>
        <v>-123.45699999999999</v>
      </c>
    </row>
    <row r="9" spans="1:22" x14ac:dyDescent="0.2">
      <c r="A9" t="s">
        <v>7</v>
      </c>
      <c r="C9" t="s">
        <v>52</v>
      </c>
      <c r="D9" t="s">
        <v>61</v>
      </c>
      <c r="E9" t="s">
        <v>105</v>
      </c>
      <c r="F9" t="s">
        <v>65</v>
      </c>
      <c r="G9" t="s">
        <v>63</v>
      </c>
      <c r="H9" t="s">
        <v>58</v>
      </c>
      <c r="I9" t="s">
        <v>59</v>
      </c>
      <c r="J9" t="s">
        <v>60</v>
      </c>
      <c r="K9" t="s">
        <v>62</v>
      </c>
      <c r="L9" t="s">
        <v>66</v>
      </c>
      <c r="M9" t="s">
        <v>64</v>
      </c>
      <c r="O9" t="s">
        <v>52</v>
      </c>
      <c r="P9" t="s">
        <v>61</v>
      </c>
      <c r="Q9" t="s">
        <v>106</v>
      </c>
      <c r="R9" t="s">
        <v>7</v>
      </c>
      <c r="S9" t="s">
        <v>67</v>
      </c>
      <c r="T9" t="s">
        <v>68</v>
      </c>
      <c r="U9" t="s">
        <v>69</v>
      </c>
      <c r="V9" t="s">
        <v>70</v>
      </c>
    </row>
    <row r="10" spans="1:22" x14ac:dyDescent="0.2">
      <c r="A10" t="s">
        <v>2</v>
      </c>
      <c r="C10" s="10"/>
      <c r="D10" s="5"/>
      <c r="E10" s="16"/>
      <c r="G10" s="12"/>
      <c r="H10" s="12"/>
      <c r="I10" s="12"/>
      <c r="J10" s="12"/>
      <c r="K10" s="17"/>
      <c r="M10" s="18"/>
      <c r="O10" s="10"/>
      <c r="P10" s="5"/>
      <c r="S10" s="13"/>
      <c r="T10" s="13"/>
      <c r="U10" s="13"/>
      <c r="V10" s="13"/>
    </row>
    <row r="11" spans="1:22" x14ac:dyDescent="0.2">
      <c r="A11" t="s">
        <v>117</v>
      </c>
    </row>
    <row r="12" spans="1:22" x14ac:dyDescent="0.2">
      <c r="A12" t="s">
        <v>42</v>
      </c>
    </row>
    <row r="13" spans="1:22" x14ac:dyDescent="0.2">
      <c r="A13" t="s">
        <v>1</v>
      </c>
    </row>
    <row r="14" spans="1:22" x14ac:dyDescent="0.2">
      <c r="A14" t="s">
        <v>119</v>
      </c>
    </row>
    <row r="15" spans="1:22" x14ac:dyDescent="0.2">
      <c r="A15" t="s">
        <v>44</v>
      </c>
    </row>
  </sheetData>
  <phoneticPr fontId="1" type="noConversion"/>
  <dataValidations count="2">
    <dataValidation type="list" allowBlank="1" showInputMessage="1" showErrorMessage="1" sqref="R10" xr:uid="{8FDC71A3-3930-4463-8BF7-600BC77066F2}">
      <formula1>"BNB,BTC,ETH,USDT,USDC"</formula1>
    </dataValidation>
    <dataValidation type="list" allowBlank="1" showInputMessage="1" showErrorMessage="1" sqref="D5:K5" xr:uid="{16B0A8D1-7D7E-4370-BEA6-013E9A6773F0}">
      <formula1>"Market,Exchange,Stablecoin,Forex"</formula1>
    </dataValidation>
  </dataValidations>
  <pageMargins left="0.7" right="0.7" top="0.75" bottom="0.75" header="0.3" footer="0.3"/>
  <pageSetup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LedgerTemplate"/>
  <dimension ref="A1:R24"/>
  <sheetViews>
    <sheetView zoomScaleNormal="100" workbookViewId="0">
      <pane ySplit="14" topLeftCell="A15" activePane="bottomLeft" state="frozen"/>
      <selection pane="bottomLeft" activeCell="C10" sqref="C10"/>
    </sheetView>
  </sheetViews>
  <sheetFormatPr defaultColWidth="11.5703125" defaultRowHeight="12.75" customHeight="1" x14ac:dyDescent="0.2"/>
  <cols>
    <col min="1" max="1" width="18.85546875" bestFit="1" customWidth="1"/>
    <col min="2" max="2" width="17.5703125" customWidth="1"/>
    <col min="3" max="3" width="14" customWidth="1"/>
    <col min="4" max="5" width="16" customWidth="1"/>
    <col min="6" max="6" width="12.28515625" bestFit="1" customWidth="1"/>
    <col min="7" max="7" width="16" customWidth="1"/>
    <col min="8" max="8" width="13.85546875" bestFit="1" customWidth="1"/>
    <col min="9" max="9" width="13.28515625" customWidth="1"/>
    <col min="10" max="10" width="14.7109375" customWidth="1"/>
    <col min="11" max="11" width="11.140625" bestFit="1" customWidth="1"/>
    <col min="12" max="12" width="16.42578125" bestFit="1" customWidth="1"/>
    <col min="13" max="13" width="15.42578125" bestFit="1" customWidth="1"/>
    <col min="14" max="14" width="14.28515625" bestFit="1" customWidth="1"/>
    <col min="15" max="15" width="19.5703125" customWidth="1"/>
    <col min="16" max="16" width="18.42578125" customWidth="1"/>
    <col min="17" max="17" width="14.5703125" bestFit="1" customWidth="1"/>
    <col min="18" max="18" width="15.42578125" customWidth="1"/>
  </cols>
  <sheetData>
    <row r="1" spans="1:18" x14ac:dyDescent="0.2">
      <c r="A1" t="s">
        <v>7</v>
      </c>
      <c r="D1" t="s">
        <v>23</v>
      </c>
      <c r="E1" t="s">
        <v>24</v>
      </c>
      <c r="F1" t="s">
        <v>26</v>
      </c>
      <c r="G1" t="s">
        <v>25</v>
      </c>
      <c r="H1" t="s">
        <v>81</v>
      </c>
      <c r="I1" t="s">
        <v>29</v>
      </c>
      <c r="J1" t="s">
        <v>27</v>
      </c>
      <c r="K1" t="s">
        <v>10</v>
      </c>
      <c r="L1" t="s">
        <v>32</v>
      </c>
      <c r="M1" t="s">
        <v>33</v>
      </c>
      <c r="N1" t="s">
        <v>131</v>
      </c>
      <c r="O1" t="s">
        <v>126</v>
      </c>
      <c r="P1" t="s">
        <v>127</v>
      </c>
      <c r="Q1" t="s">
        <v>130</v>
      </c>
      <c r="R1" t="s">
        <v>132</v>
      </c>
    </row>
    <row r="2" spans="1:18" ht="12.75" customHeight="1" x14ac:dyDescent="0.2">
      <c r="A2" t="s">
        <v>6</v>
      </c>
      <c r="D2" t="s">
        <v>8</v>
      </c>
      <c r="E2">
        <f>SUMIF(Details[Operation],Summary[[#This Row],[In Operation]],Details[Acquired])</f>
        <v>0</v>
      </c>
      <c r="F2" t="s">
        <v>21</v>
      </c>
      <c r="G2">
        <f>SUMIF(Details[Operation],Summary[[#This Row],[Out Operation]],Details[Spent])</f>
        <v>0</v>
      </c>
      <c r="H2" t="s">
        <v>22</v>
      </c>
      <c r="I2" cm="1">
        <f t="array" ref="I2">SUMIFS(Details[Charge],Details[Operation],Summary[[#This Row],[In Operation]])+SUMIFS(Details[Charge],Details[Operation],Summary[[#This Row],[Out Operation]],Details[Ticker],Markets[Ticker])</f>
        <v>0</v>
      </c>
      <c r="J2">
        <f>Summary[[#This Row],[Acquired]]-Summary[[#This Row],[Spent]]-Summary[[#This Row],[Charge]]</f>
        <v>0</v>
      </c>
      <c r="K2" s="13">
        <f>SUMIF(Details[Operation],Summary[[#This Row],[In Operation]],Details[BNB Fee])+SUMIF(Details[Operation],Summary[[#This Row],[Out Operation]],Details[BNB Fee])</f>
        <v>0</v>
      </c>
      <c r="L2">
        <f>SUMIF(Details[Operation],Summary[[#This Row],[In Operation]],Details[Debit])</f>
        <v>0</v>
      </c>
      <c r="M2">
        <f>SUMIF(Details[Operation],Summary[[#This Row],[Out Operation]],Details[Credit])</f>
        <v>0</v>
      </c>
      <c r="N2">
        <f>SUMIF(Details[Operation],Summary[[#This Row],[In Operation]],Details[Commission])+SUMIF(Details[Operation],Summary[[#This Row],[Out Operation]],Details[Commission])</f>
        <v>0</v>
      </c>
      <c r="O2" s="13">
        <f>IFERROR(SUMIFS(Details[Debit],Details[Operation],Summary[[#This Row],[In Operation]],Details[Price],"&lt;&gt;0")/SUMIFS(Details[Acquired],Details[Operation],Summary[[#This Row],[In Operation]]),0)</f>
        <v>0</v>
      </c>
      <c r="P2" s="13">
        <f>IFERROR(SUMIFS(Details[Credit],Details[Operation],Summary[[#This Row],[Out Operation]],Details[Price],"&lt;&gt;0")/SUMIFS(Details[Spent],Details[Operation],Summary[[#This Row],[Out Operation]]),0)</f>
        <v>0</v>
      </c>
      <c r="Q2">
        <f>Summary[[#This Row],[Debit]]-Summary[[#This Row],[Credit]]-Summary[[#This Row],[Commission]]</f>
        <v>0</v>
      </c>
      <c r="R2">
        <f>IF(COUNTIF(Summary[[#This Row],[Debit]]:Summary[[#This Row],[Commission]],0)=3,0,$B$5*Summary[[#This Row],[Balance]]-Summary[[#This Row],[Invested]])</f>
        <v>0</v>
      </c>
    </row>
    <row r="3" spans="1:18" ht="12.75" customHeight="1" x14ac:dyDescent="0.2">
      <c r="A3" t="s">
        <v>0</v>
      </c>
      <c r="D3" t="s">
        <v>9</v>
      </c>
      <c r="E3">
        <f>SUMIF(Details[Operation],Summary[[#This Row],[In Operation]],Details[Acquired])</f>
        <v>0</v>
      </c>
      <c r="F3" t="s">
        <v>11</v>
      </c>
      <c r="G3">
        <f>SUMIF(Details[Operation],Summary[[#This Row],[Out Operation]],Details[Spent])</f>
        <v>0</v>
      </c>
      <c r="H3" t="s">
        <v>31</v>
      </c>
      <c r="I3" cm="1">
        <f t="array" ref="I3">SUMIFS(Details[Charge],Details[Operation],Summary[[#This Row],[In Operation]])+SUMIFS(Details[Charge],Details[Operation],Summary[[#This Row],[Out Operation]],Details[Ticker],Markets[Ticker])</f>
        <v>0</v>
      </c>
      <c r="J3">
        <f>Summary[[#This Row],[Acquired]]-Summary[[#This Row],[Spent]]-Summary[[#This Row],[Charge]]</f>
        <v>0</v>
      </c>
      <c r="K3" s="13">
        <f>SUMIF(Details[Operation],Summary[[#This Row],[In Operation]],Details[BNB Fee])+SUMIF(Details[Operation],Summary[[#This Row],[Out Operation]],Details[BNB Fee])</f>
        <v>0</v>
      </c>
      <c r="L3">
        <f>SUMIF(Details[Operation],Summary[[#This Row],[In Operation]],Details[Debit])</f>
        <v>0</v>
      </c>
      <c r="M3">
        <f>SUMIF(Details[Operation],Summary[[#This Row],[Out Operation]],Details[Credit])</f>
        <v>0</v>
      </c>
      <c r="N3">
        <f>SUMIF(Details[Operation],Summary[[#This Row],[In Operation]],Details[Commission])+SUMIF(Details[Operation],Summary[[#This Row],[Out Operation]],Details[Commission])</f>
        <v>0</v>
      </c>
      <c r="O3" s="13">
        <f>IFERROR(SUMIFS(Details[Debit],Details[Operation],Summary[[#This Row],[In Operation]],Details[Price],"&lt;&gt;0")/SUMIFS(Details[Acquired],Details[Operation],Summary[[#This Row],[In Operation]]),0)</f>
        <v>0</v>
      </c>
      <c r="P3" s="13">
        <f>IFERROR(SUMIFS(Details[Credit],Details[Operation],Summary[[#This Row],[Out Operation]],Details[Price],"&lt;&gt;0")/SUMIFS(Details[Spent],Details[Operation],Summary[[#This Row],[Out Operation]]),0)</f>
        <v>0</v>
      </c>
      <c r="Q3">
        <f>Summary[[#This Row],[Debit]]-Summary[[#This Row],[Credit]]-Summary[[#This Row],[Commission]]</f>
        <v>0</v>
      </c>
      <c r="R3">
        <f>IF(COUNTIF(Summary[[#This Row],[Debit]]:Summary[[#This Row],[Commission]],0)=3,0,$B$5*Summary[[#This Row],[Balance]]-Summary[[#This Row],[Invested]])</f>
        <v>0</v>
      </c>
    </row>
    <row r="4" spans="1:18" ht="12.75" customHeight="1" x14ac:dyDescent="0.2">
      <c r="A4" t="s">
        <v>116</v>
      </c>
      <c r="D4" t="s">
        <v>13</v>
      </c>
      <c r="E4">
        <f>SUMIF(Details[Operation],Summary[[#This Row],[In Operation]],Details[Acquired])</f>
        <v>0</v>
      </c>
      <c r="F4" t="s">
        <v>14</v>
      </c>
      <c r="G4">
        <f>SUMIF(Details[Operation],Summary[[#This Row],[Out Operation]],Details[Spent])</f>
        <v>0</v>
      </c>
      <c r="H4" t="s">
        <v>15</v>
      </c>
      <c r="I4" cm="1">
        <f t="array" ref="I4">SUMIFS(Details[Charge],Details[Operation],Summary[[#This Row],[In Operation]])+SUMIFS(Details[Charge],Details[Operation],Summary[[#This Row],[Out Operation]],Details[Ticker],Markets[Ticker])</f>
        <v>0</v>
      </c>
      <c r="J4">
        <f>Summary[[#This Row],[Acquired]]-Summary[[#This Row],[Spent]]-Summary[[#This Row],[Charge]]</f>
        <v>0</v>
      </c>
      <c r="K4" s="13">
        <f>SUMIF(Details[Operation],Summary[[#This Row],[In Operation]],Details[BNB Fee])+SUMIF(Details[Operation],Summary[[#This Row],[Out Operation]],Details[BNB Fee])</f>
        <v>0</v>
      </c>
      <c r="L4">
        <f>SUMIF(Details[Operation],Summary[[#This Row],[In Operation]],Details[Debit])</f>
        <v>0</v>
      </c>
      <c r="M4">
        <f>SUMIF(Details[Operation],Summary[[#This Row],[Out Operation]],Details[Credit])</f>
        <v>0</v>
      </c>
      <c r="N4">
        <f>SUMIF(Details[Operation],Summary[[#This Row],[In Operation]],Details[Commission])+SUMIF(Details[Operation],Summary[[#This Row],[Out Operation]],Details[Commission])</f>
        <v>0</v>
      </c>
      <c r="O4" s="13">
        <f>IFERROR(SUMIFS(Details[Debit],Details[Operation],Summary[[#This Row],[In Operation]],Details[Price],"&lt;&gt;0")/SUMIFS(Details[Acquired],Details[Operation],Summary[[#This Row],[In Operation]]),0)</f>
        <v>0</v>
      </c>
      <c r="P4" s="13">
        <f>IFERROR(SUMIFS(Details[Credit],Details[Operation],Summary[[#This Row],[Out Operation]],Details[Price],"&lt;&gt;0")/SUMIFS(Details[Spent],Details[Operation],Summary[[#This Row],[Out Operation]]),0)</f>
        <v>0</v>
      </c>
      <c r="Q4">
        <f>Summary[[#This Row],[Debit]]-Summary[[#This Row],[Credit]]-Summary[[#This Row],[Commission]]</f>
        <v>0</v>
      </c>
      <c r="R4">
        <f>IF(COUNTIF(Summary[[#This Row],[Debit]]:Summary[[#This Row],[Commission]],0)=3,0,$B$5*Summary[[#This Row],[Balance]]-Summary[[#This Row],[Invested]])</f>
        <v>0</v>
      </c>
    </row>
    <row r="5" spans="1:18" ht="12.75" customHeight="1" x14ac:dyDescent="0.2">
      <c r="A5" t="s">
        <v>34</v>
      </c>
      <c r="B5" s="13" t="e" cm="1">
        <f t="array" ref="B5">INDEX(Assets[Price], MATCH(Markets[Ticker],Assets[Ticker],0))</f>
        <v>#N/A</v>
      </c>
      <c r="D5" t="s">
        <v>12</v>
      </c>
      <c r="E5">
        <f>SUMIF(Details[Operation],Summary[[#This Row],[In Operation]],Details[Acquired])</f>
        <v>0</v>
      </c>
      <c r="F5" t="s">
        <v>16</v>
      </c>
      <c r="G5">
        <f>SUMIF(Details[Operation],Summary[[#This Row],[Out Operation]],Details[Spent])</f>
        <v>0</v>
      </c>
      <c r="H5" t="s">
        <v>17</v>
      </c>
      <c r="I5" cm="1">
        <f t="array" ref="I5">SUMIFS(Details[Charge],Details[Operation],Summary[[#This Row],[In Operation]])+SUMIFS(Details[Charge],Details[Operation],Summary[[#This Row],[Out Operation]],Details[Ticker],Markets[Ticker])</f>
        <v>0</v>
      </c>
      <c r="J5">
        <f>Summary[[#This Row],[Acquired]]-Summary[[#This Row],[Spent]]-Summary[[#This Row],[Charge]]</f>
        <v>0</v>
      </c>
      <c r="K5" s="13">
        <f>SUMIF(Details[Operation],Summary[[#This Row],[In Operation]],Details[BNB Fee])+SUMIF(Details[Operation],Summary[[#This Row],[Out Operation]],Details[BNB Fee])</f>
        <v>0</v>
      </c>
      <c r="L5">
        <f>SUMIF(Details[Operation],Summary[[#This Row],[In Operation]],Details[Debit])</f>
        <v>0</v>
      </c>
      <c r="M5">
        <f>SUMIF(Details[Operation],Summary[[#This Row],[Out Operation]],Details[Credit])</f>
        <v>0</v>
      </c>
      <c r="N5">
        <f>SUMIF(Details[Operation],Summary[[#This Row],[In Operation]],Details[Commission])+SUMIF(Details[Operation],Summary[[#This Row],[Out Operation]],Details[Commission])</f>
        <v>0</v>
      </c>
      <c r="O5" s="13">
        <f>IFERROR(SUMIFS(Details[Debit],Details[Operation],Summary[[#This Row],[In Operation]],Details[Price],"&lt;&gt;0")/SUMIFS(Details[Acquired],Details[Operation],Summary[[#This Row],[In Operation]]),0)</f>
        <v>0</v>
      </c>
      <c r="P5" s="13">
        <f>IFERROR(SUMIFS(Details[Credit],Details[Operation],Summary[[#This Row],[Out Operation]],Details[Price],"&lt;&gt;0")/SUMIFS(Details[Spent],Details[Operation],Summary[[#This Row],[Out Operation]]),0)</f>
        <v>0</v>
      </c>
      <c r="Q5">
        <f>Summary[[#This Row],[Debit]]-Summary[[#This Row],[Credit]]-Summary[[#This Row],[Commission]]</f>
        <v>0</v>
      </c>
      <c r="R5">
        <f>IF(COUNTIF(Summary[[#This Row],[Debit]]:Summary[[#This Row],[Commission]],0)=3,0,$B$5*Summary[[#This Row],[Balance]]-Summary[[#This Row],[Invested]])</f>
        <v>0</v>
      </c>
    </row>
    <row r="6" spans="1:18" ht="12.75" customHeight="1" x14ac:dyDescent="0.2">
      <c r="A6" t="s">
        <v>115</v>
      </c>
      <c r="B6" t="e" cm="1">
        <f t="array" ref="B6">INDEX(Assets[Price], MATCH(Markets[Ticker],Assets[Ticker],0))*Summary[[#Totals],[Balance]]+INDEX(Assets[Dynamic Amount], MATCH(Markets[Ticker],Assets[Ticker],0))</f>
        <v>#N/A</v>
      </c>
      <c r="D6" t="s">
        <v>20</v>
      </c>
      <c r="E6">
        <f>SUMIF(Details[Operation],Summary[[#This Row],[In Operation]],Details[Acquired])</f>
        <v>0</v>
      </c>
      <c r="F6" t="s">
        <v>18</v>
      </c>
      <c r="G6">
        <f>SUMIF(Details[Operation],Summary[[#This Row],[Out Operation]],Details[Spent])</f>
        <v>0</v>
      </c>
      <c r="H6" t="s">
        <v>19</v>
      </c>
      <c r="I6" cm="1">
        <f t="array" ref="I6">SUMIFS(Details[Charge],Details[Operation],Summary[[#This Row],[In Operation]])+SUMIFS(Details[Charge],Details[Operation],Summary[[#This Row],[Out Operation]],Details[Ticker],Markets[Ticker])</f>
        <v>0</v>
      </c>
      <c r="J6">
        <f>Summary[[#This Row],[Acquired]]-Summary[[#This Row],[Spent]]-Summary[[#This Row],[Charge]]</f>
        <v>0</v>
      </c>
      <c r="K6" s="13">
        <f>SUMIF(Details[Operation],Summary[[#This Row],[In Operation]],Details[BNB Fee])+SUMIF(Details[Operation],Summary[[#This Row],[Out Operation]],Details[BNB Fee])</f>
        <v>0</v>
      </c>
      <c r="L6">
        <f>SUMIF(Details[Operation],Summary[[#This Row],[In Operation]],Details[Debit])</f>
        <v>0</v>
      </c>
      <c r="M6">
        <f>SUMIF(Details[Operation],Summary[[#This Row],[Out Operation]],Details[Credit])</f>
        <v>0</v>
      </c>
      <c r="N6">
        <f>SUMIF(Details[Operation],Summary[[#This Row],[In Operation]],Details[Commission])+SUMIF(Details[Operation],Summary[[#This Row],[Out Operation]],Details[Commission])</f>
        <v>0</v>
      </c>
      <c r="O6" s="13">
        <f>IFERROR(SUMIFS(Details[Debit],Details[Operation],Summary[[#This Row],[In Operation]],Details[Price],"&lt;&gt;0")/SUMIFS(Details[Acquired],Details[Operation],Summary[[#This Row],[In Operation]]),0)</f>
        <v>0</v>
      </c>
      <c r="P6" s="13">
        <f>IFERROR(SUMIFS(Details[Credit],Details[Operation],Summary[[#This Row],[Out Operation]],Details[Price],"&lt;&gt;0")/SUMIFS(Details[Spent],Details[Operation],Summary[[#This Row],[Out Operation]]),0)</f>
        <v>0</v>
      </c>
      <c r="Q6">
        <f>Summary[[#This Row],[Debit]]-Summary[[#This Row],[Credit]]-Summary[[#This Row],[Commission]]</f>
        <v>0</v>
      </c>
      <c r="R6">
        <f>IF(COUNTIF(Summary[[#This Row],[Debit]]:Summary[[#This Row],[Commission]],0)=3,0,$B$5*Summary[[#This Row],[Balance]]-Summary[[#This Row],[Invested]])</f>
        <v>0</v>
      </c>
    </row>
    <row r="7" spans="1:18" ht="12.75" customHeight="1" x14ac:dyDescent="0.2">
      <c r="A7" t="s">
        <v>28</v>
      </c>
      <c r="B7" t="e" cm="1">
        <f t="array" ref="B7">Summary[[#Totals],[Balance]]+INDEX(Assets[Dynamic Amount], MATCH(Markets[Ticker],Assets[Ticker],0))</f>
        <v>#N/A</v>
      </c>
      <c r="D7" t="s">
        <v>35</v>
      </c>
      <c r="E7">
        <f>SUMIF(Details[Operation],Summary[[#This Row],[In Operation]],Details[Acquired])</f>
        <v>0</v>
      </c>
      <c r="F7" t="s">
        <v>56</v>
      </c>
      <c r="G7">
        <f>SUMIF(Details[Operation],Summary[[#This Row],[Out Operation]],Details[Spent])</f>
        <v>0</v>
      </c>
      <c r="H7" t="s">
        <v>57</v>
      </c>
      <c r="I7" cm="1">
        <f t="array" ref="I7">SUMIFS(Details[Charge],Details[Operation],Summary[[#This Row],[In Operation]])+SUMIFS(Details[Charge],Details[Operation],Summary[[#This Row],[Out Operation]],Details[Ticker],Markets[Ticker])</f>
        <v>0</v>
      </c>
      <c r="J7">
        <f>Summary[[#This Row],[Acquired]]-Summary[[#This Row],[Spent]]-Summary[[#This Row],[Charge]]</f>
        <v>0</v>
      </c>
      <c r="K7" s="13">
        <f>SUMIF(Details[Operation],Summary[[#This Row],[In Operation]],Details[BNB Fee])+SUMIF(Details[Operation],Summary[[#This Row],[Out Operation]],Details[BNB Fee])</f>
        <v>0</v>
      </c>
      <c r="L7">
        <f>SUMIF(Details[Operation],Summary[[#This Row],[In Operation]],Details[Debit])</f>
        <v>0</v>
      </c>
      <c r="M7">
        <f>SUMIF(Details[Operation],Summary[[#This Row],[Out Operation]],Details[Credit])</f>
        <v>0</v>
      </c>
      <c r="N7">
        <f>SUMIF(Details[Operation],Summary[[#This Row],[In Operation]],Details[Commission])+SUMIF(Details[Operation],Summary[[#This Row],[Out Operation]],Details[Commission])</f>
        <v>0</v>
      </c>
      <c r="O7" s="13">
        <f>IFERROR(SUMIFS(Details[Debit],Details[Operation],Summary[[#This Row],[In Operation]],Details[Price],"&lt;&gt;0")/SUMIFS(Details[Acquired],Details[Operation],Summary[[#This Row],[In Operation]]),0)</f>
        <v>0</v>
      </c>
      <c r="P7" s="13">
        <f>IFERROR(SUMIFS(Details[Credit],Details[Operation],Summary[[#This Row],[Out Operation]],Details[Price],"&lt;&gt;0")/SUMIFS(Details[Spent],Details[Operation],Summary[[#This Row],[Out Operation]]),0)</f>
        <v>0</v>
      </c>
      <c r="Q7">
        <f>Summary[[#This Row],[Debit]]-Summary[[#This Row],[Credit]]-Summary[[#This Row],[Commission]]</f>
        <v>0</v>
      </c>
      <c r="R7">
        <f>IF(COUNTIF(Summary[[#This Row],[Debit]]:Summary[[#This Row],[Commission]],0)=3,0,$B$5*Summary[[#This Row],[Balance]]-Summary[[#This Row],[Invested]])</f>
        <v>0</v>
      </c>
    </row>
    <row r="8" spans="1:18" ht="12.75" customHeight="1" x14ac:dyDescent="0.2">
      <c r="A8" t="s">
        <v>27</v>
      </c>
      <c r="B8">
        <f>Summary[[#Totals],[Balance]]</f>
        <v>0</v>
      </c>
      <c r="D8" t="s">
        <v>28</v>
      </c>
      <c r="E8">
        <f>SUBTOTAL(109,Summary[Acquired])</f>
        <v>0</v>
      </c>
      <c r="G8">
        <f>SUBTOTAL(109,Summary[Spent])</f>
        <v>0</v>
      </c>
      <c r="I8">
        <f>SUBTOTAL(109,Summary[Charge])</f>
        <v>0</v>
      </c>
      <c r="J8">
        <f>SUBTOTAL(109,Summary[Balance])</f>
        <v>0</v>
      </c>
      <c r="K8" s="13">
        <f>SUBTOTAL(109,Summary[BNB fees])</f>
        <v>0</v>
      </c>
      <c r="L8">
        <f>SUBTOTAL(109,Summary[Debit])</f>
        <v>0</v>
      </c>
      <c r="M8">
        <f>SUBTOTAL(109,Summary[Credit])</f>
        <v>0</v>
      </c>
      <c r="N8">
        <f>SUBTOTAL(109,Summary[Commission])</f>
        <v>0</v>
      </c>
      <c r="O8" s="13">
        <f>IFERROR(SUMIFS(Details[Debit],Details[Price],"&lt;&gt;0")/SUM(Details[Acquired]),0)</f>
        <v>0</v>
      </c>
      <c r="P8" s="13">
        <f>IFERROR(SUMIFS(Details[Credit],Details[Price],"&lt;&gt;0")/SUM(Details[Spent]),0)</f>
        <v>0</v>
      </c>
      <c r="Q8">
        <f>SUBTOTAL(109,Summary[Invested])</f>
        <v>0</v>
      </c>
      <c r="R8">
        <f>SUBTOTAL(109,Summary[Unrealized L/P])</f>
        <v>0</v>
      </c>
    </row>
    <row r="9" spans="1:18" ht="12.75" customHeight="1" x14ac:dyDescent="0.2">
      <c r="A9" t="s">
        <v>85</v>
      </c>
      <c r="B9" t="e" cm="1">
        <f t="array" ref="B9">INDEX(Assets[Dynamic Amount], MATCH(Markets[Ticker],Assets[Ticker],0))</f>
        <v>#N/A</v>
      </c>
    </row>
    <row r="10" spans="1:18" ht="12.75" customHeight="1" x14ac:dyDescent="0.2">
      <c r="A10" t="s">
        <v>80</v>
      </c>
      <c r="B10" s="13" t="e" cm="1">
        <f t="array" ref="B10">Summary[[#Totals],[Balance]]+INDEX(Assets[Dynamic Amount], MATCH(Markets[Ticker],Assets[Ticker],0))-INDEX(Assets[Total Amount], MATCH(Markets[Ticker],Assets[Ticker],0))</f>
        <v>#N/A</v>
      </c>
    </row>
    <row r="11" spans="1:18" ht="12.75" customHeight="1" x14ac:dyDescent="0.2">
      <c r="A11" t="s">
        <v>53</v>
      </c>
      <c r="B11" s="11" cm="1">
        <f t="array" ref="B11">UserInfo[Activity Start Date]</f>
        <v>45809</v>
      </c>
      <c r="D11" t="s">
        <v>7</v>
      </c>
      <c r="E11" t="s">
        <v>87</v>
      </c>
    </row>
    <row r="12" spans="1:18" ht="12.75" customHeight="1" x14ac:dyDescent="0.2">
      <c r="A12" t="s">
        <v>134</v>
      </c>
      <c r="B12" t="s">
        <v>133</v>
      </c>
      <c r="D12" s="5" t="b">
        <v>0</v>
      </c>
      <c r="E12" s="5" t="b">
        <v>0</v>
      </c>
    </row>
    <row r="14" spans="1:18" ht="12.75" customHeight="1" x14ac:dyDescent="0.2">
      <c r="A14" t="s">
        <v>52</v>
      </c>
      <c r="B14" t="s">
        <v>4</v>
      </c>
      <c r="C14" t="s">
        <v>5</v>
      </c>
      <c r="D14" t="s">
        <v>24</v>
      </c>
      <c r="E14" t="s">
        <v>25</v>
      </c>
      <c r="F14" t="s">
        <v>7</v>
      </c>
      <c r="G14" t="s">
        <v>34</v>
      </c>
      <c r="H14" t="s">
        <v>41</v>
      </c>
      <c r="I14" t="s">
        <v>29</v>
      </c>
      <c r="J14" t="s">
        <v>125</v>
      </c>
      <c r="K14" t="s">
        <v>30</v>
      </c>
      <c r="L14" t="s">
        <v>32</v>
      </c>
      <c r="M14" t="s">
        <v>33</v>
      </c>
      <c r="N14" t="s">
        <v>131</v>
      </c>
      <c r="O14" t="s">
        <v>55</v>
      </c>
      <c r="P14" t="s">
        <v>54</v>
      </c>
    </row>
    <row r="15" spans="1:18" ht="12.75" customHeight="1" x14ac:dyDescent="0.2">
      <c r="A15" s="10"/>
      <c r="G15" s="13"/>
      <c r="I15" s="13"/>
      <c r="K15" s="13"/>
    </row>
    <row r="16" spans="1:18" ht="12.75" customHeight="1" x14ac:dyDescent="0.2">
      <c r="D16">
        <f>SUBTOTAL(109,Details[Acquired])</f>
        <v>0</v>
      </c>
      <c r="E16">
        <f>SUBTOTAL(109,Details[Spent])</f>
        <v>0</v>
      </c>
      <c r="I16" s="13"/>
      <c r="K16" s="13">
        <f>SUBTOTAL(109,Details[BNB Fee])</f>
        <v>0</v>
      </c>
      <c r="L16">
        <f>SUBTOTAL(109,Details[Debit])</f>
        <v>0</v>
      </c>
      <c r="M16">
        <f>SUBTOTAL(109,Details[Credit])</f>
        <v>0</v>
      </c>
      <c r="N16">
        <f>SUBTOTAL(109,Details[Commission])</f>
        <v>0</v>
      </c>
      <c r="P16">
        <f>SUBTOTAL(103,Details[ID])</f>
        <v>0</v>
      </c>
    </row>
    <row r="24" spans="4:4" ht="12.75" customHeight="1" x14ac:dyDescent="0.2">
      <c r="D24" s="8"/>
    </row>
  </sheetData>
  <phoneticPr fontId="1" type="noConversion"/>
  <conditionalFormatting sqref="B10">
    <cfRule type="cellIs" dxfId="9" priority="1" operator="notEqual">
      <formula>0</formula>
    </cfRule>
  </conditionalFormatting>
  <dataValidations count="1">
    <dataValidation type="list" allowBlank="1" showInputMessage="1" showErrorMessage="1" sqref="B12" xr:uid="{C169F8D3-A96D-4489-9E34-9BF5F5A5DE66}">
      <formula1>"5 minutes,15 minutes,30 minutes,1 hour,4 hours,8 hours,1 day"</formula1>
    </dataValidation>
  </dataValidations>
  <pageMargins left="0.78749999999999998" right="0.78749999999999998" top="1.05277777777778" bottom="1.05277777777778" header="0.78749999999999998" footer="0.78749999999999998"/>
  <pageSetup paperSize="9" orientation="portrait" useFirstPageNumber="1" horizontalDpi="300" verticalDpi="300"/>
  <headerFooter>
    <oddHeader>&amp;C&amp;"Times New Roman,Regular"&amp;12&amp;A</oddHeader>
    <oddFooter>&amp;C&amp;"Times New Roman,Regular"&amp;12Page &amp;P</oddFooter>
  </headerFooter>
  <legacyDrawing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DE7B865-F3D9-4AE5-A5C4-11FF76FA692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Assets</vt:lpstr>
      <vt:lpstr>Currencies</vt:lpstr>
      <vt:lpstr>Misc</vt:lpstr>
      <vt:lpstr>Ledger Template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dc:description/>
  <cp:lastModifiedBy>Росен Д. Стойчев</cp:lastModifiedBy>
  <cp:revision>1</cp:revision>
  <dcterms:created xsi:type="dcterms:W3CDTF">2025-09-03T14:28:39Z</dcterms:created>
  <dcterms:modified xsi:type="dcterms:W3CDTF">2025-10-12T16:31:10Z</dcterms:modified>
  <dc:language>bg-BG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9c53e24-5cfd-4307-952f-4b31e7c03d6f_Enabled">
    <vt:lpwstr>true</vt:lpwstr>
  </property>
  <property fmtid="{D5CDD505-2E9C-101B-9397-08002B2CF9AE}" pid="3" name="MSIP_Label_79c53e24-5cfd-4307-952f-4b31e7c03d6f_SetDate">
    <vt:lpwstr>2025-09-22T22:07:49Z</vt:lpwstr>
  </property>
  <property fmtid="{D5CDD505-2E9C-101B-9397-08002B2CF9AE}" pid="4" name="MSIP_Label_79c53e24-5cfd-4307-952f-4b31e7c03d6f_Method">
    <vt:lpwstr>Privileged</vt:lpwstr>
  </property>
  <property fmtid="{D5CDD505-2E9C-101B-9397-08002B2CF9AE}" pid="5" name="MSIP_Label_79c53e24-5cfd-4307-952f-4b31e7c03d6f_Name">
    <vt:lpwstr>Public</vt:lpwstr>
  </property>
  <property fmtid="{D5CDD505-2E9C-101B-9397-08002B2CF9AE}" pid="6" name="MSIP_Label_79c53e24-5cfd-4307-952f-4b31e7c03d6f_SiteId">
    <vt:lpwstr>420584ab-4eec-41c7-bb43-7364d0a6fdfd</vt:lpwstr>
  </property>
  <property fmtid="{D5CDD505-2E9C-101B-9397-08002B2CF9AE}" pid="7" name="MSIP_Label_79c53e24-5cfd-4307-952f-4b31e7c03d6f_ActionId">
    <vt:lpwstr>d08158cd-3ff7-4714-8775-e30e8b29f417</vt:lpwstr>
  </property>
  <property fmtid="{D5CDD505-2E9C-101B-9397-08002B2CF9AE}" pid="8" name="MSIP_Label_79c53e24-5cfd-4307-952f-4b31e7c03d6f_ContentBits">
    <vt:lpwstr>0</vt:lpwstr>
  </property>
  <property fmtid="{D5CDD505-2E9C-101B-9397-08002B2CF9AE}" pid="9" name="MSIP_Label_79c53e24-5cfd-4307-952f-4b31e7c03d6f_Tag">
    <vt:lpwstr>10, 0, 1, 1</vt:lpwstr>
  </property>
</Properties>
</file>