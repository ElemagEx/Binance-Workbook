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8218F669-261C-46E2-99CE-2BE1668A66CA}" xr6:coauthVersionLast="47" xr6:coauthVersionMax="47" xr10:uidLastSave="{00000000-0000-0000-0000-000000000000}"/>
  <bookViews>
    <workbookView xWindow="28680" yWindow="-120" windowWidth="29040" windowHeight="15720" tabRatio="580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5" i="1" a="1"/>
  <c r="B5" i="1" s="1"/>
  <c r="B10" i="1" a="1"/>
  <c r="B10" i="1" s="1"/>
  <c r="B9" i="1" a="1"/>
  <c r="B9" i="1" s="1"/>
  <c r="B8" i="1"/>
  <c r="G10" i="1"/>
  <c r="I2" i="1" a="1"/>
  <c r="I2" i="1" s="1"/>
  <c r="I10" i="1" s="1"/>
  <c r="I3" i="1" a="1"/>
  <c r="I3" i="1" s="1"/>
  <c r="J3" i="1" s="1"/>
  <c r="I4" i="1" a="1"/>
  <c r="I4" i="1" s="1"/>
  <c r="I5" i="1" a="1"/>
  <c r="I5" i="1" s="1"/>
  <c r="I6" i="1" a="1"/>
  <c r="I6" i="1" s="1"/>
  <c r="J6" i="1" s="1"/>
  <c r="I7" i="1" a="1"/>
  <c r="I7" i="1" s="1"/>
  <c r="J7" i="1" s="1"/>
  <c r="I8" i="1" a="1"/>
  <c r="I8" i="1" s="1"/>
  <c r="I9" i="1" a="1"/>
  <c r="I9" i="1" s="1"/>
  <c r="J18" i="1"/>
  <c r="E18" i="1"/>
  <c r="D18" i="1"/>
  <c r="G2" i="1"/>
  <c r="G3" i="1"/>
  <c r="G4" i="1"/>
  <c r="G5" i="1"/>
  <c r="G6" i="1"/>
  <c r="G7" i="1"/>
  <c r="G8" i="1"/>
  <c r="G9" i="1"/>
  <c r="K2" i="1"/>
  <c r="K10" i="1" s="1"/>
  <c r="K3" i="1"/>
  <c r="K4" i="1"/>
  <c r="K5" i="1"/>
  <c r="K6" i="1"/>
  <c r="K7" i="1"/>
  <c r="K8" i="1"/>
  <c r="K9" i="1"/>
  <c r="E2" i="1"/>
  <c r="E10" i="1" s="1"/>
  <c r="E3" i="1"/>
  <c r="E4" i="1"/>
  <c r="E5" i="1"/>
  <c r="E6" i="1"/>
  <c r="E7" i="1"/>
  <c r="E8" i="1"/>
  <c r="E9" i="1"/>
  <c r="B11" i="1" a="1"/>
  <c r="B11" i="1" s="1"/>
  <c r="G10" i="3"/>
  <c r="G8" i="3"/>
  <c r="A6" i="4"/>
  <c r="O18" i="1"/>
  <c r="J8" i="1" l="1"/>
  <c r="J5" i="1"/>
  <c r="J9" i="1"/>
  <c r="J4" i="1"/>
  <c r="J2" i="1"/>
  <c r="J10" i="1" s="1"/>
  <c r="J6" i="4"/>
  <c r="H6" i="4"/>
  <c r="D6" i="4"/>
  <c r="F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<sst xmlns="http://schemas.openxmlformats.org/spreadsheetml/2006/main" count="172" uniqueCount="146">
  <si>
    <t>Type</t>
  </si>
  <si>
    <t>BTC</t>
  </si>
  <si>
    <t>USDC</t>
  </si>
  <si>
    <t>Crypto</t>
  </si>
  <si>
    <t>Wallet</t>
  </si>
  <si>
    <t>Operation</t>
  </si>
  <si>
    <t>Name</t>
  </si>
  <si>
    <t>Bitcoin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</si>
  <si>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</si>
  <si>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</si>
  <si>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</si>
  <si>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</si>
  <si>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</si>
  <si>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</si>
  <si>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</si>
  <si>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</si>
  <si>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</si>
  <si>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</si>
  <si>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</si>
  <si>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</si>
  <si>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</si>
  <si>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</si>
  <si>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</si>
  <si>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</si>
  <si>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Key</t>
  </si>
  <si>
    <t>Activity</t>
  </si>
  <si>
    <t>Acquired</t>
  </si>
  <si>
    <t>Spent</t>
  </si>
  <si>
    <t>In Operation</t>
  </si>
  <si>
    <t>Value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</si>
  <si>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</si>
  <si>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</si>
  <si>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</si>
  <si>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</si>
  <si>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</si>
  <si>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</si>
  <si>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</si>
  <si>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</si>
  <si>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</si>
  <si>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</si>
  <si>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</si>
  <si>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</si>
  <si>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Euro</t>
  </si>
  <si>
    <t>Fiat</t>
  </si>
  <si>
    <t>Test Value</t>
  </si>
  <si>
    <t>USD</t>
  </si>
  <si>
    <t>US Dollar</t>
  </si>
  <si>
    <t>Amount</t>
  </si>
  <si>
    <t>Symbols</t>
  </si>
  <si>
    <t>ETH</t>
  </si>
  <si>
    <t>Trades</t>
  </si>
  <si>
    <t>Bases</t>
  </si>
  <si>
    <t>USDT</t>
  </si>
  <si>
    <t>Tether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</si>
  <si>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</si>
  <si>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</si>
  <si>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</si>
  <si>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</si>
  <si>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</si>
  <si>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</si>
  <si>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</si>
  <si>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</si>
  <si>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</si>
  <si>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</si>
  <si>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</si>
  <si>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</si>
  <si>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</si>
  <si>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Fiat Deposit</t>
  </si>
  <si>
    <t>Fiat Withdraw</t>
  </si>
  <si>
    <t>Fiat Buy</t>
  </si>
  <si>
    <t>Fiat Sell</t>
  </si>
  <si>
    <t>Crypto Deposit</t>
  </si>
  <si>
    <t>Crypto Withdraw</t>
  </si>
  <si>
    <t>ID</t>
  </si>
  <si>
    <t>Fiat Trade</t>
  </si>
  <si>
    <t>fiat-buy</t>
  </si>
  <si>
    <t>fiat-sell</t>
  </si>
  <si>
    <t>Note</t>
  </si>
  <si>
    <t>distribution</t>
  </si>
  <si>
    <t>commission</t>
  </si>
  <si>
    <t>Dust</t>
  </si>
  <si>
    <t>dust-out</t>
  </si>
  <si>
    <t>dust-in</t>
  </si>
  <si>
    <t>Distribution</t>
  </si>
  <si>
    <t>Convert Order ID</t>
  </si>
  <si>
    <t>Spot Wallet</t>
  </si>
  <si>
    <t>Funding Wallet</t>
  </si>
  <si>
    <t>Earn Wallet</t>
  </si>
  <si>
    <t>Applied</t>
  </si>
  <si>
    <t>Is Valid</t>
  </si>
  <si>
    <t>From Amount</t>
  </si>
  <si>
    <t>Ratio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</si>
  <si>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</si>
  <si>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</si>
  <si>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</si>
  <si>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</si>
  <si>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</si>
  <si>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</si>
  <si>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</si>
  <si>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</si>
  <si>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Transfer</t>
  </si>
  <si>
    <t>Commision</t>
  </si>
  <si>
    <t>Dribblets</t>
  </si>
  <si>
    <t>Volume 2</t>
  </si>
  <si>
    <t>Coin 2</t>
  </si>
  <si>
    <t>Coin 3</t>
  </si>
  <si>
    <t>Amount 2</t>
  </si>
  <si>
    <t>Amount 3</t>
  </si>
  <si>
    <t>Charge 2</t>
  </si>
  <si>
    <t>Charge 3</t>
  </si>
  <si>
    <t>Volume 3</t>
  </si>
  <si>
    <t>Coin 4</t>
  </si>
  <si>
    <t>Amount 4</t>
  </si>
  <si>
    <t>Charge 4</t>
  </si>
  <si>
    <t>Volume 4</t>
  </si>
  <si>
    <t>Coin 5</t>
  </si>
  <si>
    <t>Amount 5</t>
  </si>
  <si>
    <t>Charge 5</t>
  </si>
  <si>
    <t>Volume 5</t>
  </si>
  <si>
    <t>Coin 6</t>
  </si>
  <si>
    <t>Amount 6</t>
  </si>
  <si>
    <t>Charge 6</t>
  </si>
  <si>
    <t>Volume 6</t>
  </si>
  <si>
    <t>Coin 7</t>
  </si>
  <si>
    <t>Amount 7</t>
  </si>
  <si>
    <t>Charge 7</t>
  </si>
  <si>
    <t>Volume 7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</si>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</sst>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55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Account" displayName="Account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54"/>
    <tableColumn id="10" xr3:uid="{C254CAED-99FB-472A-8694-6B4E59FE47F3}" name="Evaluation Asset" dataDxfId="53"/>
    <tableColumn id="1" xr3:uid="{355CDFDF-675F-4DEC-817C-17FC7CFE7487}" name="Activity Start Date" dataDxfId="52"/>
    <tableColumn id="5" xr3:uid="{67155EC9-1196-4F2D-9401-88B27FBBDCC3}" name="Maker Fee" dataDxfId="51"/>
    <tableColumn id="6" xr3:uid="{262113F3-B82B-46FE-B8FD-5B4323E6DC2B}" name="Taker Fee" dataDxfId="50"/>
    <tableColumn id="7" xr3:uid="{21D2A591-ACD5-449F-94D3-3EB328F88B9F}" name="Buyer Fee" dataDxfId="49"/>
    <tableColumn id="8" xr3:uid="{718F0E26-0FF9-4BBB-BA98-18E85B0B8DA2}" name="Seller Fee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Assets" displayName="Assets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47">
      <calculatedColumnFormula>Assets[[#This Row],[Static Amount]]+Assets[[#This Row],[Dynamic Amount]]</calculatedColumnFormula>
    </tableColumn>
    <tableColumn id="4" xr3:uid="{6BD03EB5-C572-4866-BCD8-662B93F69C6B}" name="Total Cost" totalsRowFunction="sum" dataDxfId="46">
      <calculatedColumnFormula>IF(ISBLANK(Assets[[#This Row],[Price]]),"",Assets[[#This Row],[Price]]*Assets[[#This Row],[Total Amount]])</calculatedColumnFormula>
    </tableColumn>
    <tableColumn id="7" xr3:uid="{ADB4BBC5-7655-43CE-9F92-633B7CAA84FC}" name="Spot Amount" dataDxfId="45"/>
    <tableColumn id="5" xr3:uid="{7D6BA41C-60AE-4FDF-A8ED-199FDF3084F4}" name="Spot Cost" totalsRowFunction="sum" dataDxfId="44">
      <calculatedColumnFormula>IF(ISBLANK(Assets[[#This Row],[Price]]),"",Assets[[#This Row],[Price]]*Assets[[#This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43">
      <calculatedColumnFormula>IF(ISBLANK(Assets[[#This Row],[Price]]),"",Assets[[#This Row],[Price]]*Assets[[#This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42">
      <calculatedColumnFormula>IF(ISBLANK(Assets[[#This Row],[Price]]),"",Assets[[#This Row],[Price]]*Assets[[#This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41">
      <calculatedColumnFormula>Assets[[#This Row],[Spot Amount]]+Assets[[#This Row],[Funding Amount]]+Assets[[#This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T2" totalsRowShown="0">
  <autoFilter ref="I1:T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442DCE4A-05D1-4925-81C0-3234094E925F}" name=" "/>
    <tableColumn id="2" xr3:uid="{69862955-F45D-4FE5-9EB9-AE6F0C01AFDC}" name="Wallet" dataDxfId="40"/>
    <tableColumn id="3" xr3:uid="{496F3DEA-85DD-4658-83B5-F0A38E13C814}" name="Fiat Buy" dataDxfId="39"/>
    <tableColumn id="4" xr3:uid="{976B3AB6-32BC-4903-964B-D6306327EC3A}" name="Fiat Sell" dataDxfId="38"/>
    <tableColumn id="5" xr3:uid="{30F60354-2A73-4BDE-8A3A-97599788FD0F}" name="Fiat Deposit" dataDxfId="37"/>
    <tableColumn id="6" xr3:uid="{77D4C728-BBEA-4F52-B500-2FF17985ECA9}" name="Fiat Withdraw" dataDxfId="36"/>
    <tableColumn id="7" xr3:uid="{7AF7CAFE-256D-440A-9E46-0E0E62EDA58D}" name="Crypto Deposit" dataDxfId="35"/>
    <tableColumn id="8" xr3:uid="{393A80E1-A845-4DCA-A6DB-5A7ECE9427BE}" name="Crypto Withdraw" dataDxfId="34"/>
    <tableColumn id="9" xr3:uid="{24B88B35-3E3C-49DB-B738-AF5F80E0BE3E}" name="Convert" dataDxfId="33"/>
    <tableColumn id="10" xr3:uid="{2C4C24B5-7E14-4A96-9AF2-07CD957A4F40}" name="Distribution" dataDxfId="32"/>
    <tableColumn id="11" xr3:uid="{AE6480AE-7BCC-466E-91F5-C3695832F768}" name="Transfer" dataDxfId="31"/>
    <tableColumn id="12" xr3:uid="{BF0CAAF2-8228-4C83-9AFF-0BA2895994DD}" name="Dribblets" dataDxfId="30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sortState xmlns:xlrd2="http://schemas.microsoft.com/office/spreadsheetml/2017/richdata2" ref="A5:I10">
    <sortCondition ref="A4:A10"/>
  </sortState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29"/>
    <tableColumn id="7" xr3:uid="{641916A7-AD5A-4304-80BD-D8AAED6FCBC0}" name="Use for Evaluation" dataDxfId="28"/>
    <tableColumn id="65" xr3:uid="{1359C594-DA3A-4FC2-B7FC-DD8A47C9AAA0}" name="Symbols" dataDxfId="27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/>
  <tableColumns count="1">
    <tableColumn id="1" xr3:uid="{23E22FE6-590E-4082-BD5F-2260B4A16361}" name="Test 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ts" displayName="Converts" ref="A1:M2" insertRow="1" totalsRowShown="0">
  <autoFilter ref="A1:M2" xr:uid="{B067E519-38EF-47E3-B766-327C573FAEE7}"/>
  <sortState xmlns:xlrd2="http://schemas.microsoft.com/office/spreadsheetml/2017/richdata2" ref="A2:M2">
    <sortCondition ref="A2"/>
  </sortState>
  <tableColumns count="13">
    <tableColumn id="1" xr3:uid="{C5652673-C5A6-4AFB-A611-D2DC6E99F37E}" name="Stamp" dataDxfId="26"/>
    <tableColumn id="2" xr3:uid="{0F1AC480-D7B7-4F2E-BA02-2230B5B325A1}" name="Applied" dataDxfId="25"/>
    <tableColumn id="3" xr3:uid="{9BBE3EE2-F501-41FB-847D-C25F2C5098C2}" name="Convert Order ID" dataDxfId="24"/>
    <tableColumn id="4" xr3:uid="{DAADDE0C-3AD0-4A03-9C16-C4F26D559DA1}" name="From Asset"/>
    <tableColumn id="5" xr3:uid="{39B97D4B-0C82-4F21-B9E1-AB41C5B9D131}" name="From Amount" dataDxfId="23"/>
    <tableColumn id="6" xr3:uid="{C2462DD8-88C1-4B61-B643-79DFD479B9C6}" name="Spot Wallet" dataDxfId="22"/>
    <tableColumn id="7" xr3:uid="{542DB8DD-BDED-4361-A83D-CDEB41F78E11}" name="Funding Wallet" dataDxfId="21"/>
    <tableColumn id="8" xr3:uid="{8F09C69A-0857-4691-8A8E-5E5E530E1174}" name="Earn Wallet" dataDxfId="20"/>
    <tableColumn id="9" xr3:uid="{ACF39040-97FA-4527-A0E9-EEADF10EA789}" name="Is Valid" dataDxfId="19">
      <calculatedColumnFormula>AND(SUM(Converts[[#This Row],[Spot Wallet]:[Earn Wallet]])=Converts[[#This Row],[From Amount]],PRODUCT(Converts[[#This Row],[Spot Wallet]:[Earn Wallet]])&gt;0)</calculatedColumnFormula>
    </tableColumn>
    <tableColumn id="12" xr3:uid="{DA89DFA5-9F2A-4913-8F90-F9772FF286A6}" name="To Asset" dataDxfId="18"/>
    <tableColumn id="11" xr3:uid="{F4567656-CAE8-4928-85B1-736BEBE5A197}" name="To Amount" dataDxfId="17"/>
    <tableColumn id="13" xr3:uid="{A2734D08-B033-4769-B6C1-F8C66D7058AD}" name="Ratio" dataDxfId="16"/>
    <tableColumn id="10" xr3:uid="{3A9CC71F-A1C1-4007-8F59-4FF2999FF524}" name="Note" dataDxfId="1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O1:AT2" insertRow="1" totalsRowShown="0">
  <autoFilter ref="O1:AT2" xr:uid="{7A016EAE-CE7C-4C20-9651-50D3D8A0E41C}"/>
  <sortState xmlns:xlrd2="http://schemas.microsoft.com/office/spreadsheetml/2017/richdata2" ref="O2:AT2">
    <sortCondition ref="O2"/>
  </sortState>
  <tableColumns count="32">
    <tableColumn id="1" xr3:uid="{3033F95D-78D6-4DCC-8CAF-28F566221EAA}" name="Stamp" dataDxfId="14"/>
    <tableColumn id="2" xr3:uid="{A6536661-3405-4582-951F-A6A14504D084}" name="Applied" dataDxfId="13"/>
    <tableColumn id="3" xr3:uid="{C79C3939-2F7D-45DF-9C6A-D1801FB8E863}" name="Dribblet Tx ID" dataDxfId="12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  <tableColumn id="37" xr3:uid="{11662325-D667-4CEA-97C2-AA42B0CDFF82}" name="Coin 2"/>
    <tableColumn id="38" xr3:uid="{04823BFB-7DC3-4A22-B6B0-BD8E9C3B16F0}" name="Amount 2"/>
    <tableColumn id="39" xr3:uid="{AE678929-1BC4-4842-80EF-DD09FA23A81B}" name="Charge 2"/>
    <tableColumn id="40" xr3:uid="{56651798-75E5-4174-891A-389C5ACF6AB6}" name="Volume 2"/>
    <tableColumn id="41" xr3:uid="{A2C3108A-3F1D-4DD5-B25B-FE08C7A182F8}" name="Coin 3"/>
    <tableColumn id="42" xr3:uid="{BA9D8C9C-4300-450A-9ECA-3CD5AC11182B}" name="Amount 3"/>
    <tableColumn id="43" xr3:uid="{57A6A292-FAB1-4EE5-BB99-D2B07430CDE3}" name="Charge 3"/>
    <tableColumn id="44" xr3:uid="{B0B8FF2F-F07A-42AC-B692-F30010167158}" name="Volume 3"/>
    <tableColumn id="45" xr3:uid="{095EC969-845C-4FFD-9D14-ADB406CDCCC3}" name="Coin 4"/>
    <tableColumn id="46" xr3:uid="{927193E2-B6C2-44CC-A91E-7BBD3DD38B47}" name="Amount 4"/>
    <tableColumn id="47" xr3:uid="{712557BC-40B1-4927-A274-C633890E1A1A}" name="Charge 4"/>
    <tableColumn id="48" xr3:uid="{5E305F29-8E77-4686-A826-36870A952018}" name="Volume 4"/>
    <tableColumn id="49" xr3:uid="{623E2340-F772-459C-AF05-1FD4B66457F0}" name="Coin 5"/>
    <tableColumn id="50" xr3:uid="{0C89C890-A575-4875-BC5D-3BE53658B8E9}" name="Amount 5"/>
    <tableColumn id="51" xr3:uid="{D4E93EA1-31C8-450A-9265-14FA8C925BE4}" name="Charge 5"/>
    <tableColumn id="52" xr3:uid="{90C2A9B2-2DDB-4BB6-9334-2A56CA839355}" name="Volume 5"/>
    <tableColumn id="53" xr3:uid="{DE092B61-5032-48E0-B27A-7BA656367C3C}" name="Coin 6"/>
    <tableColumn id="54" xr3:uid="{416A8A5A-6379-47FE-A0BB-E33C66CEB21F}" name="Amount 6"/>
    <tableColumn id="55" xr3:uid="{AB38FA50-9A29-4920-A997-162BF132722F}" name="Charge 6"/>
    <tableColumn id="56" xr3:uid="{EE13F193-EF1A-4C29-98D3-E91B83F58290}" name="Volume 6"/>
    <tableColumn id="57" xr3:uid="{47479318-AEC3-4ABA-B5D9-A6D1BA9DA5E6}" name="Coin 7"/>
    <tableColumn id="58" xr3:uid="{0C76F107-F51F-44F5-A793-D4FB6C1A72BB}" name="Amount 7"/>
    <tableColumn id="59" xr3:uid="{21DD3278-C836-4D61-8188-E7945C7BFA4F}" name="Charge 7"/>
    <tableColumn id="60" xr3:uid="{E4259108-943C-47BF-BBAF-1E0542873AC7}" name="Volume 7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Info" displayName="Info" ref="A1:B11">
  <autoFilter ref="A1:B11" xr:uid="{3A2FA4BE-023B-438F-B949-7EE4A29787F8}">
    <filterColumn colId="0" hiddenButton="1"/>
    <filterColumn colId="1" hiddenButton="1"/>
  </autoFilter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1"/>
    <tableColumn id="2" xr3:uid="{A1169244-DC3E-40D8-A647-316DD8DB603A}" name="Wallet" dataDxfId="10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9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10" totalsRowCount="1">
  <autoFilter ref="D1:L9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8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7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6">
      <calculatedColumnFormula array="1">SUMIFS(Details[Charge],Details[Operation],Summary[[#This Row],[In Operation]])+SUMIFS(Details[Charge],Details[Operation],Summary[[#This Row],[Out Operation]],Details[Ticker],Trades[Trades])</calculatedColumnFormula>
    </tableColumn>
    <tableColumn id="6" xr3:uid="{02524852-4FD6-4990-8FE8-E984BD6EFAEE}" name="Balance" totalsRowFunction="sum" dataDxfId="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4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"/>
  </tableColumns>
  <tableStyleInfo name="TableStyleLight5" showFirstColumn="0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Trades" displayName="Trades" ref="A13:B14" totalsRowShown="0" dataDxfId="2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rades" dataDxfId="1"/>
    <tableColumn id="7" xr3:uid="{07D19152-2558-4F61-878E-9B51E845BDD5}" name="Symbols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T6"/>
  <sheetViews>
    <sheetView tabSelected="1" workbookViewId="0">
      <pane ySplit="4" topLeftCell="A17" activePane="bottomLeft" state="frozen"/>
      <selection pane="bottomLeft" activeCell="A17" sqref="A17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</cols>
  <sheetData>
    <row r="1" spans="1:20" x14ac:dyDescent="0.2">
      <c r="A1" t="s">
        <v>55</v>
      </c>
      <c r="B1" t="s">
        <v>60</v>
      </c>
      <c r="C1" t="s">
        <v>65</v>
      </c>
      <c r="D1" t="s">
        <v>56</v>
      </c>
      <c r="E1" t="s">
        <v>57</v>
      </c>
      <c r="F1" t="s">
        <v>58</v>
      </c>
      <c r="G1" t="s">
        <v>59</v>
      </c>
      <c r="I1" t="s">
        <v>66</v>
      </c>
      <c r="J1" t="s">
        <v>4</v>
      </c>
      <c r="K1" t="s">
        <v>69</v>
      </c>
      <c r="L1" t="s">
        <v>70</v>
      </c>
      <c r="M1" t="s">
        <v>67</v>
      </c>
      <c r="N1" t="s">
        <v>68</v>
      </c>
      <c r="O1" t="s">
        <v>71</v>
      </c>
      <c r="P1" t="s">
        <v>72</v>
      </c>
      <c r="Q1" t="s">
        <v>21</v>
      </c>
      <c r="R1" t="s">
        <v>83</v>
      </c>
      <c r="S1" t="s">
        <v>100</v>
      </c>
      <c r="T1" t="s">
        <v>102</v>
      </c>
    </row>
    <row r="2" spans="1:20" x14ac:dyDescent="0.2">
      <c r="C2" s="11">
        <v>45809</v>
      </c>
      <c r="D2" s="9"/>
      <c r="E2" s="9"/>
      <c r="F2" s="9"/>
      <c r="G2" s="9"/>
      <c r="I2" t="s">
        <v>63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4" spans="1:20" x14ac:dyDescent="0.2">
      <c r="A4" t="s">
        <v>8</v>
      </c>
      <c r="B4" t="s">
        <v>37</v>
      </c>
      <c r="C4" t="s">
        <v>133</v>
      </c>
      <c r="D4" t="s">
        <v>134</v>
      </c>
      <c r="E4" t="s">
        <v>127</v>
      </c>
      <c r="F4" t="s">
        <v>130</v>
      </c>
      <c r="G4" t="s">
        <v>128</v>
      </c>
      <c r="H4" t="s">
        <v>131</v>
      </c>
      <c r="I4" t="s">
        <v>129</v>
      </c>
      <c r="J4" t="s">
        <v>132</v>
      </c>
      <c r="K4" t="s">
        <v>141</v>
      </c>
      <c r="L4" t="s">
        <v>142</v>
      </c>
      <c r="M4" t="s">
        <v>143</v>
      </c>
      <c r="N4" t="s">
        <v>144</v>
      </c>
      <c r="O4" t="s">
        <v>135</v>
      </c>
    </row>
    <row r="6" spans="1:20" x14ac:dyDescent="0.2">
      <c r="A6">
        <f>SUBTOTAL(103,Assets[Ticker])</f>
        <v>0</v>
      </c>
      <c r="D6">
        <f>SUBTOTAL(109,Assets[Total Cost])</f>
        <v>0</v>
      </c>
      <c r="F6">
        <f>SUBTOTAL(109,Assets[Spot Cost])</f>
        <v>0</v>
      </c>
      <c r="H6">
        <f>SUBTOTAL(109,Assets[Funding Cost])</f>
        <v>0</v>
      </c>
      <c r="J6">
        <f>SUBTOTAL(109,Assets[Earn Cost])</f>
        <v>0</v>
      </c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A47" sqref="A47"/>
    </sheetView>
  </sheetViews>
  <sheetFormatPr defaultRowHeight="12.75" x14ac:dyDescent="0.2"/>
  <cols>
    <col min="1" max="1" width="13.85546875" customWidth="1"/>
    <col min="2" max="2" width="23.85546875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G1" t="s">
        <v>44</v>
      </c>
    </row>
    <row r="2" spans="1:11" x14ac:dyDescent="0.2">
      <c r="G2">
        <v>-123.45699999999999</v>
      </c>
    </row>
    <row r="4" spans="1:11" x14ac:dyDescent="0.2">
      <c r="A4" t="s">
        <v>8</v>
      </c>
      <c r="B4" t="s">
        <v>6</v>
      </c>
      <c r="C4" t="s">
        <v>0</v>
      </c>
      <c r="D4" t="s">
        <v>51</v>
      </c>
      <c r="E4" t="s">
        <v>39</v>
      </c>
      <c r="F4" t="s">
        <v>140</v>
      </c>
      <c r="G4" t="s">
        <v>40</v>
      </c>
      <c r="H4" t="s">
        <v>61</v>
      </c>
      <c r="I4" t="s">
        <v>62</v>
      </c>
      <c r="J4" t="s">
        <v>48</v>
      </c>
    </row>
    <row r="5" spans="1:11" x14ac:dyDescent="0.2">
      <c r="A5" t="s">
        <v>1</v>
      </c>
      <c r="B5" t="s">
        <v>7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49</v>
      </c>
      <c r="B6" t="s">
        <v>54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41</v>
      </c>
      <c r="B7" t="s">
        <v>42</v>
      </c>
      <c r="C7" t="s">
        <v>43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45</v>
      </c>
      <c r="B8" t="s">
        <v>46</v>
      </c>
      <c r="C8" t="s">
        <v>43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52</v>
      </c>
      <c r="B10" t="s">
        <v>53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AT2"/>
  <sheetViews>
    <sheetView workbookViewId="0">
      <pane ySplit="1" topLeftCell="A2" activePane="bottomLeft" state="frozen"/>
      <selection pane="bottomLeft" activeCell="N22" sqref="N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0.85546875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46" x14ac:dyDescent="0.2">
      <c r="A1" t="s">
        <v>64</v>
      </c>
      <c r="B1" t="s">
        <v>88</v>
      </c>
      <c r="C1" t="s">
        <v>84</v>
      </c>
      <c r="D1" t="s">
        <v>93</v>
      </c>
      <c r="E1" t="s">
        <v>90</v>
      </c>
      <c r="F1" t="s">
        <v>85</v>
      </c>
      <c r="G1" t="s">
        <v>86</v>
      </c>
      <c r="H1" t="s">
        <v>87</v>
      </c>
      <c r="I1" t="s">
        <v>89</v>
      </c>
      <c r="J1" t="s">
        <v>94</v>
      </c>
      <c r="K1" t="s">
        <v>92</v>
      </c>
      <c r="L1" t="s">
        <v>91</v>
      </c>
      <c r="M1" t="s">
        <v>77</v>
      </c>
      <c r="O1" t="s">
        <v>64</v>
      </c>
      <c r="P1" t="s">
        <v>88</v>
      </c>
      <c r="Q1" t="s">
        <v>99</v>
      </c>
      <c r="R1" t="s">
        <v>8</v>
      </c>
      <c r="S1" t="s">
        <v>95</v>
      </c>
      <c r="T1" t="s">
        <v>96</v>
      </c>
      <c r="U1" t="s">
        <v>97</v>
      </c>
      <c r="V1" t="s">
        <v>98</v>
      </c>
      <c r="W1" t="s">
        <v>104</v>
      </c>
      <c r="X1" t="s">
        <v>106</v>
      </c>
      <c r="Y1" t="s">
        <v>108</v>
      </c>
      <c r="Z1" t="s">
        <v>103</v>
      </c>
      <c r="AA1" t="s">
        <v>105</v>
      </c>
      <c r="AB1" t="s">
        <v>107</v>
      </c>
      <c r="AC1" t="s">
        <v>109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  <c r="AI1" t="s">
        <v>115</v>
      </c>
      <c r="AJ1" t="s">
        <v>116</v>
      </c>
      <c r="AK1" t="s">
        <v>117</v>
      </c>
      <c r="AL1" t="s">
        <v>118</v>
      </c>
      <c r="AM1" t="s">
        <v>119</v>
      </c>
      <c r="AN1" t="s">
        <v>120</v>
      </c>
      <c r="AO1" t="s">
        <v>121</v>
      </c>
      <c r="AP1" t="s">
        <v>122</v>
      </c>
      <c r="AQ1" t="s">
        <v>123</v>
      </c>
      <c r="AR1" t="s">
        <v>124</v>
      </c>
      <c r="AS1" t="s">
        <v>125</v>
      </c>
      <c r="AT1" t="s">
        <v>126</v>
      </c>
    </row>
    <row r="2" spans="1:46" x14ac:dyDescent="0.2">
      <c r="A2" s="10"/>
      <c r="B2" s="5"/>
      <c r="E2" s="12"/>
      <c r="F2" s="12"/>
      <c r="G2" s="12"/>
      <c r="H2" s="12"/>
      <c r="I2" s="5"/>
      <c r="O2" s="10"/>
      <c r="P2" s="5"/>
    </row>
  </sheetData>
  <phoneticPr fontId="1" type="noConversion"/>
  <dataValidations count="1">
    <dataValidation type="list" allowBlank="1" showInputMessage="1" showErrorMessage="1" sqref="R2" xr:uid="{8FDC71A3-3930-4463-8BF7-600BC77066F2}">
      <formula1>"BNB,BTC,ETH,USDT,USDC"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zoomScaleNormal="100" workbookViewId="0">
      <pane ySplit="16" topLeftCell="A17" activePane="bottomLeft" state="frozen"/>
      <selection pane="bottomLeft" activeCell="D13" sqref="D13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24</v>
      </c>
      <c r="B1" t="s">
        <v>29</v>
      </c>
      <c r="D1" t="s">
        <v>25</v>
      </c>
      <c r="E1" t="s">
        <v>26</v>
      </c>
      <c r="F1" t="s">
        <v>28</v>
      </c>
      <c r="G1" t="s">
        <v>27</v>
      </c>
      <c r="H1" t="s">
        <v>137</v>
      </c>
      <c r="I1" t="s">
        <v>32</v>
      </c>
      <c r="J1" t="s">
        <v>30</v>
      </c>
      <c r="K1" t="s">
        <v>11</v>
      </c>
      <c r="L1" t="s">
        <v>139</v>
      </c>
    </row>
    <row r="2" spans="1:15" ht="12.75" customHeight="1" x14ac:dyDescent="0.2">
      <c r="A2" t="s">
        <v>8</v>
      </c>
      <c r="D2" t="s">
        <v>9</v>
      </c>
      <c r="E2">
        <f>SUMIF(Details[Operation],Summary[[#This Row],[In Operation]],Details[Acquired])</f>
        <v>0</v>
      </c>
      <c r="F2" t="s">
        <v>22</v>
      </c>
      <c r="G2">
        <f>SUMIF(Details[Operation],Summary[[#This Row],[Out Operation]],Details[Spent])</f>
        <v>0</v>
      </c>
      <c r="H2" t="s">
        <v>23</v>
      </c>
      <c r="I2" cm="1">
        <f t="array" ref="I2">SUMIFS(Details[Charge],Details[Operation],Summary[[#This Row],[In Operation]])+SUMIFS(Details[Charge],Details[Operation],Summary[[#This Row],[Out Operation]],Details[Ticker],Trades[Trades])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6</v>
      </c>
      <c r="D3" t="s">
        <v>10</v>
      </c>
      <c r="E3">
        <f>SUMIF(Details[Operation],Summary[[#This Row],[In Operation]],Details[Acquired])</f>
        <v>0</v>
      </c>
      <c r="F3" t="s">
        <v>12</v>
      </c>
      <c r="G3">
        <f>SUMIF(Details[Operation],Summary[[#This Row],[Out Operation]],Details[Spent])</f>
        <v>0</v>
      </c>
      <c r="H3" t="s">
        <v>34</v>
      </c>
      <c r="I3" cm="1">
        <f t="array" ref="I3">SUMIFS(Details[Charge],Details[Operation],Summary[[#This Row],[In Operation]])+SUMIFS(Details[Charge],Details[Operation],Summary[[#This Row],[Out Operation]],Details[Ticker],Trades[Trades])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0</v>
      </c>
      <c r="D4" t="s">
        <v>74</v>
      </c>
      <c r="E4">
        <f>SUMIF(Details[Operation],Summary[[#This Row],[In Operation]],Details[Acquired])</f>
        <v>0</v>
      </c>
      <c r="F4" t="s">
        <v>75</v>
      </c>
      <c r="G4">
        <f>SUMIF(Details[Operation],Summary[[#This Row],[Out Operation]],Details[Spent])</f>
        <v>0</v>
      </c>
      <c r="H4" t="s">
        <v>76</v>
      </c>
      <c r="I4" cm="1">
        <f t="array" ref="I4">SUMIFS(Details[Charge],Details[Operation],Summary[[#This Row],[In Operation]])+SUMIFS(Details[Charge],Details[Operation],Summary[[#This Row],[Out Operation]],Details[Ticker],Trades[Trades])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31</v>
      </c>
      <c r="B5" t="e" cm="1">
        <f t="array" ref="B5">Summary[[#Totals],[Balance]]+INDEX(Assets[Dynamic Amount], MATCH(Trades[Trades],Assets[Ticker],0))</f>
        <v>#N/A</v>
      </c>
      <c r="D5" t="s">
        <v>14</v>
      </c>
      <c r="E5">
        <f>SUMIF(Details[Operation],Summary[[#This Row],[In Operation]],Details[Acquired])</f>
        <v>0</v>
      </c>
      <c r="F5" t="s">
        <v>15</v>
      </c>
      <c r="G5">
        <f>SUMIF(Details[Operation],Summary[[#This Row],[Out Operation]],Details[Spent])</f>
        <v>0</v>
      </c>
      <c r="H5" t="s">
        <v>16</v>
      </c>
      <c r="I5" cm="1">
        <f t="array" ref="I5">SUMIFS(Details[Charge],Details[Operation],Summary[[#This Row],[In Operation]])+SUMIFS(Details[Charge],Details[Operation],Summary[[#This Row],[Out Operation]],Details[Ticker],Trades[Trades])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37</v>
      </c>
      <c r="D6" t="s">
        <v>13</v>
      </c>
      <c r="E6">
        <f>SUMIF(Details[Operation],Summary[[#This Row],[In Operation]],Details[Acquired])</f>
        <v>0</v>
      </c>
      <c r="F6" t="s">
        <v>17</v>
      </c>
      <c r="G6">
        <f>SUMIF(Details[Operation],Summary[[#This Row],[Out Operation]],Details[Spent])</f>
        <v>0</v>
      </c>
      <c r="H6" t="s">
        <v>18</v>
      </c>
      <c r="I6" cm="1">
        <f t="array" ref="I6">SUMIFS(Details[Charge],Details[Operation],Summary[[#This Row],[In Operation]])+SUMIFS(Details[Charge],Details[Operation],Summary[[#This Row],[Out Operation]],Details[Ticker],Trades[Trades])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138</v>
      </c>
      <c r="D7" t="s">
        <v>21</v>
      </c>
      <c r="E7">
        <f>SUMIF(Details[Operation],Summary[[#This Row],[In Operation]],Details[Acquired])</f>
        <v>0</v>
      </c>
      <c r="F7" t="s">
        <v>19</v>
      </c>
      <c r="G7">
        <f>SUMIF(Details[Operation],Summary[[#This Row],[Out Operation]],Details[Spent])</f>
        <v>0</v>
      </c>
      <c r="H7" t="s">
        <v>20</v>
      </c>
      <c r="I7" cm="1">
        <f t="array" ref="I7">SUMIFS(Details[Charge],Details[Operation],Summary[[#This Row],[In Operation]])+SUMIFS(Details[Charge],Details[Operation],Summary[[#This Row],[Out Operation]],Details[Ticker],Trades[Trades])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30</v>
      </c>
      <c r="B8">
        <f>Summary[[#Totals],[Balance]]</f>
        <v>0</v>
      </c>
      <c r="D8" t="s">
        <v>38</v>
      </c>
      <c r="E8">
        <f>SUMIF(Details[Operation],Summary[[#This Row],[In Operation]],Details[Acquired])</f>
        <v>0</v>
      </c>
      <c r="F8" t="s">
        <v>78</v>
      </c>
      <c r="G8">
        <f>SUMIF(Details[Operation],Summary[[#This Row],[Out Operation]],Details[Spent])</f>
        <v>0</v>
      </c>
      <c r="H8" t="s">
        <v>79</v>
      </c>
      <c r="I8" cm="1">
        <f t="array" ref="I8">SUMIFS(Details[Charge],Details[Operation],Summary[[#This Row],[In Operation]])+SUMIFS(Details[Charge],Details[Operation],Summary[[#This Row],[Out Operation]],Details[Ticker],Trades[Trades])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145</v>
      </c>
      <c r="B9" t="e" cm="1">
        <f t="array" ref="B9">INDEX(Assets[Dynamic Amount], MATCH(Trades[Trades],Assets[Ticker],0))</f>
        <v>#N/A</v>
      </c>
      <c r="D9" t="s">
        <v>80</v>
      </c>
      <c r="E9">
        <f>SUMIF(Details[Operation],Summary[[#This Row],[In Operation]],Details[Acquired])</f>
        <v>0</v>
      </c>
      <c r="F9" t="s">
        <v>82</v>
      </c>
      <c r="G9">
        <f>SUMIF(Details[Operation],Summary[[#This Row],[Out Operation]],Details[Spent])</f>
        <v>0</v>
      </c>
      <c r="H9" t="s">
        <v>81</v>
      </c>
      <c r="I9" cm="1">
        <f t="array" ref="I9">SUMIFS(Details[Charge],Details[Operation],Summary[[#This Row],[In Operation]])+SUMIFS(Details[Charge],Details[Operation],Summary[[#This Row],[Out Operation]],Details[Ticker],Trades[Trades])</f>
        <v>0</v>
      </c>
      <c r="J9">
        <f>Summary[[#This Row],[Acquired]]-Summary[[#This Row],[Spent]]-Summary[[#This Row],[Charge]]</f>
        <v>0</v>
      </c>
      <c r="K9">
        <f>SUMIF(Details[Operation],Summary[[#This Row],[In Operation]],Details[BNB Fee])+SUMIF(Details[Operation],Summary[[#This Row],[Out Operation]],Details[BNB Fee])</f>
        <v>0</v>
      </c>
      <c r="L9" s="10"/>
    </row>
    <row r="10" spans="1:15" ht="12.75" customHeight="1" x14ac:dyDescent="0.2">
      <c r="A10" t="s">
        <v>136</v>
      </c>
      <c r="B10" t="e" cm="1">
        <f t="array" ref="B10">Summary[[#Totals],[Balance]]-INDEX(Assets[Static Amount], MATCH(Trades[Trades],Assets[Ticker],0))</f>
        <v>#N/A</v>
      </c>
      <c r="D10" t="s">
        <v>31</v>
      </c>
      <c r="E10">
        <f>SUBTOTAL(109,Summary[Acquired])</f>
        <v>0</v>
      </c>
      <c r="G10">
        <f>SUBTOTAL(109,Summary[Spent])</f>
        <v>0</v>
      </c>
      <c r="I10">
        <f>SUBTOTAL(109,Summary[Charge])</f>
        <v>0</v>
      </c>
      <c r="J10">
        <f>SUBTOTAL(109,Summary[Balance])</f>
        <v>0</v>
      </c>
      <c r="K10">
        <f>SUBTOTAL(109,Summary[BNB fees])</f>
        <v>0</v>
      </c>
    </row>
    <row r="11" spans="1:15" ht="12.75" customHeight="1" x14ac:dyDescent="0.2">
      <c r="A11" t="s">
        <v>65</v>
      </c>
      <c r="B11" s="11" cm="1">
        <f t="array" ref="B11">Account[Activity Start Date]</f>
        <v>45809</v>
      </c>
    </row>
    <row r="13" spans="1:15" ht="12.75" customHeight="1" x14ac:dyDescent="0.2">
      <c r="A13" t="s">
        <v>50</v>
      </c>
      <c r="B13" t="s">
        <v>48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64</v>
      </c>
      <c r="B16" t="s">
        <v>4</v>
      </c>
      <c r="C16" t="s">
        <v>5</v>
      </c>
      <c r="D16" t="s">
        <v>26</v>
      </c>
      <c r="E16" t="s">
        <v>27</v>
      </c>
      <c r="F16" t="s">
        <v>8</v>
      </c>
      <c r="G16" t="s">
        <v>37</v>
      </c>
      <c r="H16" t="s">
        <v>47</v>
      </c>
      <c r="I16" t="s">
        <v>32</v>
      </c>
      <c r="J16" t="s">
        <v>33</v>
      </c>
      <c r="K16" t="s">
        <v>35</v>
      </c>
      <c r="L16" t="s">
        <v>36</v>
      </c>
      <c r="M16" t="s">
        <v>101</v>
      </c>
      <c r="N16" t="s">
        <v>77</v>
      </c>
      <c r="O16" t="s">
        <v>73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4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2025-09-23T10:28:25Z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