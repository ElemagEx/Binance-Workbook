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8_{B813F549-116A-449A-BF01-77DD7F55EE3D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5" i="1" a="1"/>
  <c r="B5" i="1" s="1"/>
  <c r="B10" i="1" a="1"/>
  <c r="B10" i="1" s="1"/>
  <c r="B9" i="1" a="1"/>
  <c r="B9" i="1" s="1"/>
  <c r="B8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1" i="1" a="1"/>
  <c r="B11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<sst xmlns="http://schemas.openxmlformats.org/spreadsheetml/2006/main" count="172" uniqueCount="146">
  <si>
    <t>Type</t>
  </si>
  <si>
    <t>BTC</t>
  </si>
  <si>
    <t>USDC</t>
  </si>
  <si>
    <t>Crypto</t>
  </si>
  <si>
    <t>Wallet</t>
  </si>
  <si>
    <t>Operation</t>
  </si>
  <si>
    <t>Name</t>
  </si>
  <si>
    <t>Bitcoin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</si>
  <si>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</si>
  <si>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</si>
  <si>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</si>
  <si>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</si>
  <si>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</si>
  <si>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</si>
  <si>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</si>
  <si>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</si>
  <si>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</si>
  <si>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</si>
  <si>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</si>
  <si>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</si>
  <si>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</si>
  <si>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</si>
  <si>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</si>
  <si>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</si>
  <si>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Key</t>
  </si>
  <si>
    <t>Activity</t>
  </si>
  <si>
    <t>Acquired</t>
  </si>
  <si>
    <t>Spent</t>
  </si>
  <si>
    <t>In Operation</t>
  </si>
  <si>
    <t>Value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</si>
  <si>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</si>
  <si>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</si>
  <si>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</si>
  <si>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</si>
  <si>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</si>
  <si>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</si>
  <si>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</si>
  <si>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</si>
  <si>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</si>
  <si>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</si>
  <si>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</si>
  <si>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</si>
  <si>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Euro</t>
  </si>
  <si>
    <t>Fiat</t>
  </si>
  <si>
    <t>Test Value</t>
  </si>
  <si>
    <t>USD</t>
  </si>
  <si>
    <t>US Dollar</t>
  </si>
  <si>
    <t>Amount</t>
  </si>
  <si>
    <t>Symbols</t>
  </si>
  <si>
    <t>ETH</t>
  </si>
  <si>
    <t>Trades</t>
  </si>
  <si>
    <t>Bases</t>
  </si>
  <si>
    <t>USDT</t>
  </si>
  <si>
    <t>Tether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</si>
  <si>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</si>
  <si>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</si>
  <si>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</si>
  <si>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</si>
  <si>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</si>
  <si>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</si>
  <si>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</si>
  <si>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</si>
  <si>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</si>
  <si>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</si>
  <si>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</si>
  <si>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</si>
  <si>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</si>
  <si>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</si>
  <si>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</si>
  <si>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</si>
  <si>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</si>
  <si>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</si>
  <si>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</si>
  <si>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</si>
  <si>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</si>
  <si>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</si>
  <si>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</si>
  <si>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</si>
  <si>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</si>
  <si>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</si>
  <si>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</si>
  <si>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</si>
  <si>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</si>
  <si>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</si>
  <si>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</si>
  <si>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</si>
  <si>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</si>
  <si>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</si>
  <si>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</si>
  <si>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</si>
  <si>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</si>
  <si>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</si>
  <si>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</si>
  <si>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</si>
  <si>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</si>
  <si>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</si>
  <si>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</si>
  <si>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</si>
  <si>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</si>
  <si>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</si>
  <si>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</si>
  <si>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</si>
  <si>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Dribblets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</si>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</sst>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Account" displayName="Account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Assets[[#This Row],[Static Amount]]+Assets[[#This Row],[Dynamic Amount]]</calculatedColumnFormula>
    </tableColumn>
    <tableColumn id="4" xr3:uid="{6BD03EB5-C572-4866-BCD8-662B93F69C6B}" name="Total Cost" totalsRowFunction="sum" dataDxfId="46">
      <calculatedColumnFormula>IF(ISBLANK(Assets[[#This Row],[Price]]),"",Assets[[#This Row],[Price]]*Assets[[#This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IF(ISBLANK(Assets[[#This Row],[Price]]),"",Assets[[#This Row],[Price]]*Assets[[#This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IF(ISBLANK(Assets[[#This Row],[Price]]),"",Assets[[#This Row],[Price]]*Assets[[#This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IF(ISBLANK(Assets[[#This Row],[Price]]),"",Assets[[#This Row],[Price]]*Assets[[#This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Assets[[#This Row],[Spot Amount]]+Assets[[#This Row],[Funding Amount]]+Assets[[#This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ribblets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sortState xmlns:xlrd2="http://schemas.microsoft.com/office/spreadsheetml/2017/richdata2" ref="A5:I10">
    <sortCondition ref="A4:A10"/>
  </sortState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Symbols" dataDxfId="27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/>
  <tableColumns count="1">
    <tableColumn id="1" xr3:uid="{23E22FE6-590E-4082-BD5F-2260B4A16361}" name="Test 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Info" displayName="Info" ref="A1:B11">
  <autoFilter ref="A1:B11" xr:uid="{3A2FA4BE-023B-438F-B949-7EE4A29787F8}">
    <filterColumn colId="0" hiddenButton="1"/>
    <filterColumn colId="1" hiddenButton="1"/>
  </autoFilter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Operation]],Details[Ticker],Trades[Trades])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Trades" displayName="Trade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rades" dataDxfId="1"/>
    <tableColumn id="7" xr3:uid="{07D19152-2558-4F61-878E-9B51E845BDD5}" name="Symbol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tabSelected="1" workbookViewId="0">
      <pane ySplit="4" topLeftCell="A17" activePane="bottomLeft" state="frozen"/>
      <selection pane="bottomLeft" activeCell="A17" sqref="A17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55</v>
      </c>
      <c r="B1" t="s">
        <v>60</v>
      </c>
      <c r="C1" t="s">
        <v>65</v>
      </c>
      <c r="D1" t="s">
        <v>56</v>
      </c>
      <c r="E1" t="s">
        <v>57</v>
      </c>
      <c r="F1" t="s">
        <v>58</v>
      </c>
      <c r="G1" t="s">
        <v>59</v>
      </c>
      <c r="I1" t="s">
        <v>66</v>
      </c>
      <c r="J1" t="s">
        <v>4</v>
      </c>
      <c r="K1" t="s">
        <v>69</v>
      </c>
      <c r="L1" t="s">
        <v>70</v>
      </c>
      <c r="M1" t="s">
        <v>67</v>
      </c>
      <c r="N1" t="s">
        <v>68</v>
      </c>
      <c r="O1" t="s">
        <v>71</v>
      </c>
      <c r="P1" t="s">
        <v>72</v>
      </c>
      <c r="Q1" t="s">
        <v>21</v>
      </c>
      <c r="R1" t="s">
        <v>83</v>
      </c>
      <c r="S1" t="s">
        <v>100</v>
      </c>
      <c r="T1" t="s">
        <v>102</v>
      </c>
    </row>
    <row r="2" spans="1:20" x14ac:dyDescent="0.2">
      <c r="C2" s="11">
        <v>45809</v>
      </c>
      <c r="D2" s="9"/>
      <c r="E2" s="9"/>
      <c r="F2" s="9"/>
      <c r="G2" s="9"/>
      <c r="I2" t="s">
        <v>63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8</v>
      </c>
      <c r="B4" t="s">
        <v>37</v>
      </c>
      <c r="C4" t="s">
        <v>133</v>
      </c>
      <c r="D4" t="s">
        <v>134</v>
      </c>
      <c r="E4" t="s">
        <v>127</v>
      </c>
      <c r="F4" t="s">
        <v>130</v>
      </c>
      <c r="G4" t="s">
        <v>128</v>
      </c>
      <c r="H4" t="s">
        <v>131</v>
      </c>
      <c r="I4" t="s">
        <v>129</v>
      </c>
      <c r="J4" t="s">
        <v>132</v>
      </c>
      <c r="K4" t="s">
        <v>141</v>
      </c>
      <c r="L4" t="s">
        <v>142</v>
      </c>
      <c r="M4" t="s">
        <v>143</v>
      </c>
      <c r="N4" t="s">
        <v>144</v>
      </c>
      <c r="O4" t="s">
        <v>135</v>
      </c>
    </row>
    <row r="6" spans="1:20" x14ac:dyDescent="0.2">
      <c r="A6">
        <f>SUBTOTAL(103,Assets[Ticker])</f>
        <v>0</v>
      </c>
      <c r="D6">
        <f>SUBTOTAL(109,Assets[Total Cost])</f>
        <v>0</v>
      </c>
      <c r="F6">
        <f>SUBTOTAL(109,Assets[Spot Cost])</f>
        <v>0</v>
      </c>
      <c r="H6">
        <f>SUBTOTAL(109,Assets[Funding Cost])</f>
        <v>0</v>
      </c>
      <c r="J6">
        <f>SUBTOTAL(109,Assets[Earn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47" sqref="A47"/>
    </sheetView>
  </sheetViews>
  <sheetFormatPr defaultRowHeight="12.75" x14ac:dyDescent="0.2"/>
  <cols>
    <col min="1" max="1" width="13.85546875" customWidth="1"/>
    <col min="2" max="2" width="23.85546875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G1" t="s">
        <v>44</v>
      </c>
    </row>
    <row r="2" spans="1:11" x14ac:dyDescent="0.2">
      <c r="G2">
        <v>-123.45699999999999</v>
      </c>
    </row>
    <row r="4" spans="1:11" x14ac:dyDescent="0.2">
      <c r="A4" t="s">
        <v>8</v>
      </c>
      <c r="B4" t="s">
        <v>6</v>
      </c>
      <c r="C4" t="s">
        <v>0</v>
      </c>
      <c r="D4" t="s">
        <v>51</v>
      </c>
      <c r="E4" t="s">
        <v>39</v>
      </c>
      <c r="F4" t="s">
        <v>140</v>
      </c>
      <c r="G4" t="s">
        <v>40</v>
      </c>
      <c r="H4" t="s">
        <v>61</v>
      </c>
      <c r="I4" t="s">
        <v>62</v>
      </c>
      <c r="J4" t="s">
        <v>48</v>
      </c>
    </row>
    <row r="5" spans="1:11" x14ac:dyDescent="0.2">
      <c r="A5" t="s">
        <v>1</v>
      </c>
      <c r="B5" t="s">
        <v>7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49</v>
      </c>
      <c r="B6" t="s">
        <v>54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41</v>
      </c>
      <c r="B7" t="s">
        <v>42</v>
      </c>
      <c r="C7" t="s">
        <v>43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45</v>
      </c>
      <c r="B8" t="s">
        <v>46</v>
      </c>
      <c r="C8" t="s">
        <v>43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52</v>
      </c>
      <c r="B10" t="s">
        <v>53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64</v>
      </c>
      <c r="B1" t="s">
        <v>88</v>
      </c>
      <c r="C1" t="s">
        <v>84</v>
      </c>
      <c r="D1" t="s">
        <v>93</v>
      </c>
      <c r="E1" t="s">
        <v>90</v>
      </c>
      <c r="F1" t="s">
        <v>85</v>
      </c>
      <c r="G1" t="s">
        <v>86</v>
      </c>
      <c r="H1" t="s">
        <v>87</v>
      </c>
      <c r="I1" t="s">
        <v>89</v>
      </c>
      <c r="J1" t="s">
        <v>94</v>
      </c>
      <c r="K1" t="s">
        <v>92</v>
      </c>
      <c r="L1" t="s">
        <v>91</v>
      </c>
      <c r="M1" t="s">
        <v>77</v>
      </c>
      <c r="O1" t="s">
        <v>64</v>
      </c>
      <c r="P1" t="s">
        <v>88</v>
      </c>
      <c r="Q1" t="s">
        <v>99</v>
      </c>
      <c r="R1" t="s">
        <v>8</v>
      </c>
      <c r="S1" t="s">
        <v>95</v>
      </c>
      <c r="T1" t="s">
        <v>96</v>
      </c>
      <c r="U1" t="s">
        <v>97</v>
      </c>
      <c r="V1" t="s">
        <v>98</v>
      </c>
      <c r="W1" t="s">
        <v>104</v>
      </c>
      <c r="X1" t="s">
        <v>106</v>
      </c>
      <c r="Y1" t="s">
        <v>108</v>
      </c>
      <c r="Z1" t="s">
        <v>103</v>
      </c>
      <c r="AA1" t="s">
        <v>105</v>
      </c>
      <c r="AB1" t="s">
        <v>107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D13" sqref="D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24</v>
      </c>
      <c r="B1" t="s">
        <v>29</v>
      </c>
      <c r="D1" t="s">
        <v>25</v>
      </c>
      <c r="E1" t="s">
        <v>26</v>
      </c>
      <c r="F1" t="s">
        <v>28</v>
      </c>
      <c r="G1" t="s">
        <v>27</v>
      </c>
      <c r="H1" t="s">
        <v>137</v>
      </c>
      <c r="I1" t="s">
        <v>32</v>
      </c>
      <c r="J1" t="s">
        <v>30</v>
      </c>
      <c r="K1" t="s">
        <v>11</v>
      </c>
      <c r="L1" t="s">
        <v>139</v>
      </c>
    </row>
    <row r="2" spans="1:15" ht="12.75" customHeight="1" x14ac:dyDescent="0.2">
      <c r="A2" t="s">
        <v>8</v>
      </c>
      <c r="D2" t="s">
        <v>9</v>
      </c>
      <c r="E2">
        <f>SUMIF(Details[Operation],Summary[[#This Row],[In Operation]],Details[Acquired])</f>
        <v>0</v>
      </c>
      <c r="F2" t="s">
        <v>22</v>
      </c>
      <c r="G2">
        <f>SUMIF(Details[Operation],Summary[[#This Row],[Out Operation]],Details[Spent])</f>
        <v>0</v>
      </c>
      <c r="H2" t="s">
        <v>23</v>
      </c>
      <c r="I2" cm="1">
        <f t="array" ref="I2">SUMIFS(Details[Charge],Details[Operation],Summary[[#This Row],[In Operation]])+SUMIFS(Details[Charge],Details[Operation],Summary[[#This Row],[Out Operation]],Details[Ticker],Trades[Trades])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6</v>
      </c>
      <c r="D3" t="s">
        <v>10</v>
      </c>
      <c r="E3">
        <f>SUMIF(Details[Operation],Summary[[#This Row],[In Operation]],Details[Acquired])</f>
        <v>0</v>
      </c>
      <c r="F3" t="s">
        <v>12</v>
      </c>
      <c r="G3">
        <f>SUMIF(Details[Operation],Summary[[#This Row],[Out Operation]],Details[Spent])</f>
        <v>0</v>
      </c>
      <c r="H3" t="s">
        <v>34</v>
      </c>
      <c r="I3" cm="1">
        <f t="array" ref="I3">SUMIFS(Details[Charge],Details[Operation],Summary[[#This Row],[In Operation]])+SUMIFS(Details[Charge],Details[Operation],Summary[[#This Row],[Out Operation]],Details[Ticker],Trades[Trades])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0</v>
      </c>
      <c r="D4" t="s">
        <v>74</v>
      </c>
      <c r="E4">
        <f>SUMIF(Details[Operation],Summary[[#This Row],[In Operation]],Details[Acquired])</f>
        <v>0</v>
      </c>
      <c r="F4" t="s">
        <v>75</v>
      </c>
      <c r="G4">
        <f>SUMIF(Details[Operation],Summary[[#This Row],[Out Operation]],Details[Spent])</f>
        <v>0</v>
      </c>
      <c r="H4" t="s">
        <v>76</v>
      </c>
      <c r="I4" cm="1">
        <f t="array" ref="I4">SUMIFS(Details[Charge],Details[Operation],Summary[[#This Row],[In Operation]])+SUMIFS(Details[Charge],Details[Operation],Summary[[#This Row],[Out Operation]],Details[Ticker],Trades[Trades])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31</v>
      </c>
      <c r="B5" t="e" cm="1">
        <f t="array" ref="B5">Summary[[#Totals],[Balance]]+INDEX(Assets[Dynamic Amount], MATCH(Trades[Trades],Assets[Ticker],0))</f>
        <v>#N/A</v>
      </c>
      <c r="D5" t="s">
        <v>14</v>
      </c>
      <c r="E5">
        <f>SUMIF(Details[Operation],Summary[[#This Row],[In Operation]],Details[Acquired])</f>
        <v>0</v>
      </c>
      <c r="F5" t="s">
        <v>15</v>
      </c>
      <c r="G5">
        <f>SUMIF(Details[Operation],Summary[[#This Row],[Out Operation]],Details[Spent])</f>
        <v>0</v>
      </c>
      <c r="H5" t="s">
        <v>16</v>
      </c>
      <c r="I5" cm="1">
        <f t="array" ref="I5">SUMIFS(Details[Charge],Details[Operation],Summary[[#This Row],[In Operation]])+SUMIFS(Details[Charge],Details[Operation],Summary[[#This Row],[Out Operation]],Details[Ticker],Trades[Trades])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37</v>
      </c>
      <c r="D6" t="s">
        <v>13</v>
      </c>
      <c r="E6">
        <f>SUMIF(Details[Operation],Summary[[#This Row],[In Operation]],Details[Acquired])</f>
        <v>0</v>
      </c>
      <c r="F6" t="s">
        <v>17</v>
      </c>
      <c r="G6">
        <f>SUMIF(Details[Operation],Summary[[#This Row],[Out Operation]],Details[Spent])</f>
        <v>0</v>
      </c>
      <c r="H6" t="s">
        <v>18</v>
      </c>
      <c r="I6" cm="1">
        <f t="array" ref="I6">SUMIFS(Details[Charge],Details[Operation],Summary[[#This Row],[In Operation]])+SUMIFS(Details[Charge],Details[Operation],Summary[[#This Row],[Out Operation]],Details[Ticker],Trades[Trades])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138</v>
      </c>
      <c r="D7" t="s">
        <v>21</v>
      </c>
      <c r="E7">
        <f>SUMIF(Details[Operation],Summary[[#This Row],[In Operation]],Details[Acquired])</f>
        <v>0</v>
      </c>
      <c r="F7" t="s">
        <v>19</v>
      </c>
      <c r="G7">
        <f>SUMIF(Details[Operation],Summary[[#This Row],[Out Operation]],Details[Spent])</f>
        <v>0</v>
      </c>
      <c r="H7" t="s">
        <v>20</v>
      </c>
      <c r="I7" cm="1">
        <f t="array" ref="I7">SUMIFS(Details[Charge],Details[Operation],Summary[[#This Row],[In Operation]])+SUMIFS(Details[Charge],Details[Operation],Summary[[#This Row],[Out Operation]],Details[Ticker],Trades[Trades])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30</v>
      </c>
      <c r="B8">
        <f>Summary[[#Totals],[Balance]]</f>
        <v>0</v>
      </c>
      <c r="D8" t="s">
        <v>38</v>
      </c>
      <c r="E8">
        <f>SUMIF(Details[Operation],Summary[[#This Row],[In Operation]],Details[Acquired])</f>
        <v>0</v>
      </c>
      <c r="F8" t="s">
        <v>78</v>
      </c>
      <c r="G8">
        <f>SUMIF(Details[Operation],Summary[[#This Row],[Out Operation]],Details[Spent])</f>
        <v>0</v>
      </c>
      <c r="H8" t="s">
        <v>79</v>
      </c>
      <c r="I8" cm="1">
        <f t="array" ref="I8">SUMIFS(Details[Charge],Details[Operation],Summary[[#This Row],[In Operation]])+SUMIFS(Details[Charge],Details[Operation],Summary[[#This Row],[Out Operation]],Details[Ticker],Trades[Trades])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145</v>
      </c>
      <c r="B9" t="e" cm="1">
        <f t="array" ref="B9">INDEX(Assets[Dynamic Amount], MATCH(Trades[Trades],Assets[Ticker],0))</f>
        <v>#N/A</v>
      </c>
      <c r="D9" t="s">
        <v>80</v>
      </c>
      <c r="E9">
        <f>SUMIF(Details[Operation],Summary[[#This Row],[In Operation]],Details[Acquired])</f>
        <v>0</v>
      </c>
      <c r="F9" t="s">
        <v>82</v>
      </c>
      <c r="G9">
        <f>SUMIF(Details[Operation],Summary[[#This Row],[Out Operation]],Details[Spent])</f>
        <v>0</v>
      </c>
      <c r="H9" t="s">
        <v>81</v>
      </c>
      <c r="I9" cm="1">
        <f t="array" ref="I9">SUMIFS(Details[Charge],Details[Operation],Summary[[#This Row],[In Operation]])+SUMIFS(Details[Charge],Details[Operation],Summary[[#This Row],[Out Operation]],Details[Ticker],Trades[Trades])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136</v>
      </c>
      <c r="B10" t="e" cm="1">
        <f t="array" ref="B10">Summary[[#Totals],[Balance]]-INDEX(Assets[Static Amount], MATCH(Trades[Trades],Assets[Ticker],0))</f>
        <v>#N/A</v>
      </c>
      <c r="D10" t="s">
        <v>31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1" spans="1:15" ht="12.75" customHeight="1" x14ac:dyDescent="0.2">
      <c r="A11" t="s">
        <v>65</v>
      </c>
      <c r="B11" s="11" cm="1">
        <f t="array" ref="B11">Account[Activity Start Date]</f>
        <v>45809</v>
      </c>
    </row>
    <row r="13" spans="1:15" ht="12.75" customHeight="1" x14ac:dyDescent="0.2">
      <c r="A13" t="s">
        <v>50</v>
      </c>
      <c r="B13" t="s">
        <v>48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64</v>
      </c>
      <c r="B16" t="s">
        <v>4</v>
      </c>
      <c r="C16" t="s">
        <v>5</v>
      </c>
      <c r="D16" t="s">
        <v>26</v>
      </c>
      <c r="E16" t="s">
        <v>27</v>
      </c>
      <c r="F16" t="s">
        <v>8</v>
      </c>
      <c r="G16" t="s">
        <v>37</v>
      </c>
      <c r="H16" t="s">
        <v>47</v>
      </c>
      <c r="I16" t="s">
        <v>32</v>
      </c>
      <c r="J16" t="s">
        <v>33</v>
      </c>
      <c r="K16" t="s">
        <v>35</v>
      </c>
      <c r="L16" t="s">
        <v>36</v>
      </c>
      <c r="M16" t="s">
        <v>101</v>
      </c>
      <c r="N16" t="s">
        <v>77</v>
      </c>
      <c r="O16" t="s">
        <v>73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4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2025-09-22T22:08:08Z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